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i\Università\CorsiUniversitari\DataCentricAI\"/>
    </mc:Choice>
  </mc:AlternateContent>
  <xr:revisionPtr revIDLastSave="0" documentId="13_ncr:1_{767286BE-6FCE-441B-983A-696CB8EA185E}" xr6:coauthVersionLast="47" xr6:coauthVersionMax="47" xr10:uidLastSave="{00000000-0000-0000-0000-000000000000}"/>
  <bookViews>
    <workbookView xWindow="-120" yWindow="-120" windowWidth="29040" windowHeight="15720" activeTab="2" xr2:uid="{476431AF-A326-483D-9E65-81703BB1A16E}"/>
  </bookViews>
  <sheets>
    <sheet name="Foglio1" sheetId="1" r:id="rId1"/>
    <sheet name="Foglio2" sheetId="2" r:id="rId2"/>
    <sheet name="Foglio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6" i="3" l="1"/>
  <c r="G20" i="3" l="1"/>
  <c r="G16" i="3"/>
  <c r="D16" i="3"/>
  <c r="J20" i="3"/>
  <c r="D20" i="3"/>
  <c r="J19" i="2"/>
  <c r="J17" i="2"/>
  <c r="G17" i="2"/>
  <c r="D17" i="2"/>
  <c r="D19" i="2"/>
  <c r="J20" i="2"/>
  <c r="J22" i="3" l="1"/>
  <c r="D22" i="3"/>
  <c r="J23" i="3"/>
  <c r="J18" i="1"/>
  <c r="J17" i="1"/>
  <c r="D18" i="1"/>
  <c r="D17" i="1"/>
</calcChain>
</file>

<file path=xl/sharedStrings.xml><?xml version="1.0" encoding="utf-8"?>
<sst xmlns="http://schemas.openxmlformats.org/spreadsheetml/2006/main" count="106" uniqueCount="54">
  <si>
    <t>AR</t>
  </si>
  <si>
    <t>Clustering</t>
  </si>
  <si>
    <t>AutoML</t>
  </si>
  <si>
    <t>Explainability</t>
  </si>
  <si>
    <t>ML Ops</t>
  </si>
  <si>
    <t>Lab</t>
  </si>
  <si>
    <t>DTM</t>
  </si>
  <si>
    <t>DTM + ISI</t>
  </si>
  <si>
    <t>ISI</t>
  </si>
  <si>
    <t>Bias &amp; Fairness</t>
  </si>
  <si>
    <t>Supponendo di avere 5h a settimana, 3 lab + 2 teoria</t>
  </si>
  <si>
    <t>Classification + Neural networks (DTM)</t>
  </si>
  <si>
    <t>Feature engineering + selection</t>
  </si>
  <si>
    <t>Dataset augmentation &amp; balancing</t>
  </si>
  <si>
    <t>Outlier detection</t>
  </si>
  <si>
    <t xml:space="preserve">Data understanding </t>
  </si>
  <si>
    <t>Settimana</t>
  </si>
  <si>
    <t>Applications (collaborative filtering, ads bidding, churn prediction)</t>
  </si>
  <si>
    <t>STOP</t>
  </si>
  <si>
    <t>Supponendo di avere 6h a settimana, 3 lab + 3 teoria</t>
  </si>
  <si>
    <t>TOT ORE DTM (5h settimana)</t>
  </si>
  <si>
    <t>TOT ORE DTM (6h settimana)</t>
  </si>
  <si>
    <t>TOT ORE ISI (5h settimana)</t>
  </si>
  <si>
    <t>TOT ORE ISI (6h settimana)</t>
  </si>
  <si>
    <t>Introduction +Python</t>
  </si>
  <si>
    <t>Data preparation</t>
  </si>
  <si>
    <t>Classification (Decision tree, K-NN, NN)</t>
  </si>
  <si>
    <t>Clustering (K-Means, DBScan, Hierarchical)</t>
  </si>
  <si>
    <t>Association rules (Apriori)</t>
  </si>
  <si>
    <t>Pipelines</t>
  </si>
  <si>
    <t>Feature selection alg.</t>
  </si>
  <si>
    <t>Bias &amp; Fairness Alg.</t>
  </si>
  <si>
    <t>Application alg.</t>
  </si>
  <si>
    <t>Ore a settimana</t>
  </si>
  <si>
    <t>Settimane</t>
  </si>
  <si>
    <t>Outlier detection Alg.</t>
  </si>
  <si>
    <t>Crisp-DM</t>
  </si>
  <si>
    <t>Data/ML Ops</t>
  </si>
  <si>
    <t>Classificatori Decision Tree, KNN, Naive Bayes, NN, multi classificatori (Bagging, boosting-&gt;Random forest )</t>
  </si>
  <si>
    <t>Unbalanced dataset: Cost based + Resampling</t>
  </si>
  <si>
    <t>Dimensionality reduction (visualizzazione, scelta delle feature)</t>
  </si>
  <si>
    <t>Clustering (Kmeans, Hierarchical, DBSCan)</t>
  </si>
  <si>
    <t>Tipi di dati</t>
  </si>
  <si>
    <t>Outlier detection (data cleaning)</t>
  </si>
  <si>
    <t>Data understanding (dimensionality reduction)</t>
  </si>
  <si>
    <t>Dati sensibili</t>
  </si>
  <si>
    <t>Normalizzazione, binning, discretizzazione, binarizzazione (one hot, Ordinal)</t>
  </si>
  <si>
    <t>Association rules (regole gerarchiche)</t>
  </si>
  <si>
    <t>Dati ridondanti</t>
  </si>
  <si>
    <t>Imputation (media, mediana, classificatore)</t>
  </si>
  <si>
    <t>AutoML+Data/ML Ops</t>
  </si>
  <si>
    <t>Dataset augmentation &amp; balancing + Pipelines</t>
  </si>
  <si>
    <t>Teo</t>
  </si>
  <si>
    <t>JOLLY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</si>
</sst>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ill="1" applyAlignment="1">
      <alignment horizontal="left"/>
    </xf>
    <xf numFmtId="0" fontId="1" fillId="0" borderId="0" xfId="0" applyFont="1"/>
    <xf numFmtId="0" fontId="1" fillId="0" borderId="0" xfId="0" applyFont="1" applyFill="1" applyAlignment="1">
      <alignment horizontal="left"/>
    </xf>
    <xf numFmtId="2" fontId="0" fillId="0" borderId="0" xfId="0" applyNumberFormat="1" applyAlignment="1">
      <alignment horizontal="center"/>
    </xf>
    <xf numFmtId="0" fontId="0" fillId="2" borderId="0" xfId="0" applyFill="1" applyAlignment="1"/>
    <xf numFmtId="0" fontId="0" fillId="5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9B26E-B1B7-4E32-A9D5-DC34BFD21FE6}">
  <dimension ref="A1:N20"/>
  <sheetViews>
    <sheetView zoomScale="160" zoomScaleNormal="160" workbookViewId="0">
      <selection sqref="A1:XFD1048576"/>
    </sheetView>
  </sheetViews>
  <sheetFormatPr defaultColWidth="56" defaultRowHeight="15" x14ac:dyDescent="0.25"/>
  <cols>
    <col min="1" max="1" width="9.140625" style="1" bestFit="1" customWidth="1"/>
    <col min="2" max="2" width="3.140625" style="1" customWidth="1"/>
    <col min="3" max="3" width="32.85546875" customWidth="1"/>
    <col min="4" max="4" width="2.85546875" style="1" bestFit="1" customWidth="1"/>
    <col min="5" max="5" width="8.140625" style="5" customWidth="1"/>
    <col min="6" max="6" width="56.140625" bestFit="1" customWidth="1"/>
    <col min="7" max="7" width="3.85546875" style="1" bestFit="1" customWidth="1"/>
    <col min="8" max="8" width="8.140625" style="5" customWidth="1"/>
    <col min="9" max="9" width="32.85546875" customWidth="1"/>
    <col min="10" max="10" width="2.85546875" style="1" bestFit="1" customWidth="1"/>
    <col min="11" max="13" width="2.5703125" customWidth="1"/>
    <col min="14" max="14" width="44.7109375" bestFit="1" customWidth="1"/>
  </cols>
  <sheetData>
    <row r="1" spans="1:14" x14ac:dyDescent="0.25">
      <c r="A1" s="1" t="s">
        <v>16</v>
      </c>
      <c r="C1" s="15" t="s">
        <v>6</v>
      </c>
      <c r="D1" s="15"/>
      <c r="F1" s="3" t="s">
        <v>7</v>
      </c>
      <c r="I1" s="14" t="s">
        <v>8</v>
      </c>
      <c r="J1" s="14"/>
    </row>
    <row r="2" spans="1:14" x14ac:dyDescent="0.25">
      <c r="A2" s="1">
        <v>1</v>
      </c>
      <c r="C2" t="s">
        <v>11</v>
      </c>
      <c r="D2" s="2">
        <v>5</v>
      </c>
      <c r="E2" s="7">
        <v>1</v>
      </c>
      <c r="I2" s="16" t="s">
        <v>18</v>
      </c>
      <c r="J2" s="16"/>
      <c r="N2" t="s">
        <v>10</v>
      </c>
    </row>
    <row r="3" spans="1:14" x14ac:dyDescent="0.25">
      <c r="A3" s="1">
        <v>2</v>
      </c>
      <c r="C3" t="s">
        <v>11</v>
      </c>
      <c r="D3" s="1">
        <v>7</v>
      </c>
      <c r="E3" s="7">
        <v>1</v>
      </c>
      <c r="I3" s="16"/>
      <c r="J3" s="16"/>
      <c r="N3" s="6" t="s">
        <v>19</v>
      </c>
    </row>
    <row r="4" spans="1:14" x14ac:dyDescent="0.25">
      <c r="A4" s="1">
        <v>3</v>
      </c>
      <c r="C4" t="s">
        <v>0</v>
      </c>
      <c r="D4" s="2">
        <v>3</v>
      </c>
      <c r="E4" s="7">
        <v>1</v>
      </c>
      <c r="I4" s="16"/>
      <c r="J4" s="16"/>
    </row>
    <row r="5" spans="1:14" x14ac:dyDescent="0.25">
      <c r="A5" s="1">
        <v>4</v>
      </c>
      <c r="C5" t="s">
        <v>1</v>
      </c>
      <c r="D5" s="2">
        <v>5</v>
      </c>
      <c r="E5" s="7">
        <v>1</v>
      </c>
    </row>
    <row r="6" spans="1:14" x14ac:dyDescent="0.25">
      <c r="A6" s="1">
        <v>5</v>
      </c>
      <c r="F6" t="s">
        <v>15</v>
      </c>
      <c r="G6" s="2">
        <v>5</v>
      </c>
      <c r="H6" s="7">
        <v>1</v>
      </c>
      <c r="I6" t="s">
        <v>13</v>
      </c>
      <c r="J6" s="1">
        <v>2</v>
      </c>
    </row>
    <row r="7" spans="1:14" x14ac:dyDescent="0.25">
      <c r="A7" s="1">
        <v>6</v>
      </c>
      <c r="F7" t="s">
        <v>12</v>
      </c>
      <c r="G7" s="1">
        <v>2</v>
      </c>
      <c r="H7" s="7">
        <v>1</v>
      </c>
      <c r="I7" t="s">
        <v>5</v>
      </c>
      <c r="J7" s="1">
        <v>3</v>
      </c>
    </row>
    <row r="8" spans="1:14" x14ac:dyDescent="0.25">
      <c r="A8" s="1">
        <v>7</v>
      </c>
      <c r="C8" t="s">
        <v>5</v>
      </c>
      <c r="D8" s="1">
        <v>2</v>
      </c>
      <c r="F8" t="s">
        <v>14</v>
      </c>
      <c r="G8" s="1">
        <v>2</v>
      </c>
      <c r="H8" s="7">
        <v>1</v>
      </c>
      <c r="I8" t="s">
        <v>5</v>
      </c>
      <c r="J8" s="1">
        <v>3</v>
      </c>
    </row>
    <row r="9" spans="1:14" x14ac:dyDescent="0.25">
      <c r="A9" s="1">
        <v>8</v>
      </c>
      <c r="C9" t="s">
        <v>5</v>
      </c>
      <c r="D9" s="1">
        <v>2</v>
      </c>
      <c r="F9" t="s">
        <v>2</v>
      </c>
      <c r="G9" s="1">
        <v>2</v>
      </c>
      <c r="H9" s="7">
        <v>1</v>
      </c>
      <c r="I9" t="s">
        <v>5</v>
      </c>
      <c r="J9" s="1">
        <v>3</v>
      </c>
    </row>
    <row r="10" spans="1:14" x14ac:dyDescent="0.25">
      <c r="A10" s="1">
        <v>9</v>
      </c>
      <c r="F10" t="s">
        <v>9</v>
      </c>
      <c r="G10" s="1">
        <v>2</v>
      </c>
      <c r="H10" s="7">
        <v>1</v>
      </c>
      <c r="I10" t="s">
        <v>5</v>
      </c>
      <c r="J10" s="1">
        <v>3</v>
      </c>
    </row>
    <row r="11" spans="1:14" x14ac:dyDescent="0.25">
      <c r="A11" s="1">
        <v>10</v>
      </c>
      <c r="F11" t="s">
        <v>3</v>
      </c>
      <c r="G11" s="1">
        <v>2</v>
      </c>
      <c r="H11" s="7">
        <v>1</v>
      </c>
      <c r="I11" t="s">
        <v>5</v>
      </c>
      <c r="J11" s="1">
        <v>3</v>
      </c>
    </row>
    <row r="12" spans="1:14" x14ac:dyDescent="0.25">
      <c r="A12" s="1">
        <v>11</v>
      </c>
      <c r="F12" t="s">
        <v>17</v>
      </c>
      <c r="G12" s="1">
        <v>5</v>
      </c>
      <c r="H12" s="7">
        <v>1</v>
      </c>
      <c r="I12" t="s">
        <v>5</v>
      </c>
      <c r="J12" s="1">
        <v>3</v>
      </c>
    </row>
    <row r="13" spans="1:14" x14ac:dyDescent="0.25">
      <c r="A13" s="1">
        <v>12</v>
      </c>
      <c r="H13" s="7"/>
    </row>
    <row r="14" spans="1:14" x14ac:dyDescent="0.25">
      <c r="A14" s="4">
        <v>13</v>
      </c>
      <c r="B14" s="4"/>
      <c r="I14" t="s">
        <v>4</v>
      </c>
      <c r="J14" s="1">
        <v>5</v>
      </c>
    </row>
    <row r="17" spans="3:10" x14ac:dyDescent="0.25">
      <c r="C17" t="s">
        <v>20</v>
      </c>
      <c r="D17" s="1">
        <f>SUM(D2:D16) + SUM(G2:G16)</f>
        <v>44</v>
      </c>
      <c r="I17" t="s">
        <v>22</v>
      </c>
      <c r="J17" s="1">
        <f>SUM(J2:J16) + SUM(G2:G16)</f>
        <v>45</v>
      </c>
    </row>
    <row r="18" spans="3:10" x14ac:dyDescent="0.25">
      <c r="C18" t="s">
        <v>21</v>
      </c>
      <c r="D18" s="1">
        <f>SUM(D2:E16) + SUM(G2:H16)</f>
        <v>55</v>
      </c>
      <c r="I18" t="s">
        <v>23</v>
      </c>
      <c r="J18" s="1">
        <f>SUM(J2:J16) + SUM(G2:H16)</f>
        <v>52</v>
      </c>
    </row>
    <row r="20" spans="3:10" x14ac:dyDescent="0.25">
      <c r="G20" s="2"/>
    </row>
  </sheetData>
  <mergeCells count="3">
    <mergeCell ref="I1:J1"/>
    <mergeCell ref="C1:D1"/>
    <mergeCell ref="I2:J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91976-B8D9-446D-A908-48644EEC232A}">
  <dimension ref="A1:N22"/>
  <sheetViews>
    <sheetView workbookViewId="0">
      <selection activeCell="D2" sqref="D2:E5"/>
    </sheetView>
  </sheetViews>
  <sheetFormatPr defaultColWidth="56" defaultRowHeight="15" x14ac:dyDescent="0.25"/>
  <cols>
    <col min="1" max="1" width="9.140625" style="1" bestFit="1" customWidth="1"/>
    <col min="2" max="2" width="3.140625" style="1" customWidth="1"/>
    <col min="3" max="3" width="39.42578125" bestFit="1" customWidth="1"/>
    <col min="4" max="4" width="4.5703125" style="1" bestFit="1" customWidth="1"/>
    <col min="5" max="5" width="8.140625" style="5" customWidth="1"/>
    <col min="6" max="6" width="56.140625" bestFit="1" customWidth="1"/>
    <col min="7" max="7" width="8.7109375" style="1" customWidth="1"/>
    <col min="8" max="8" width="8.140625" style="5" customWidth="1"/>
    <col min="9" max="9" width="32.85546875" customWidth="1"/>
    <col min="10" max="10" width="6.7109375" style="1" customWidth="1"/>
    <col min="11" max="13" width="2.5703125" customWidth="1"/>
    <col min="14" max="14" width="44.7109375" bestFit="1" customWidth="1"/>
  </cols>
  <sheetData>
    <row r="1" spans="1:14" x14ac:dyDescent="0.25">
      <c r="A1" s="1" t="s">
        <v>16</v>
      </c>
      <c r="C1" s="15" t="s">
        <v>6</v>
      </c>
      <c r="D1" s="15"/>
      <c r="F1" s="3" t="s">
        <v>7</v>
      </c>
      <c r="I1" s="14" t="s">
        <v>8</v>
      </c>
      <c r="J1" s="14"/>
    </row>
    <row r="2" spans="1:14" x14ac:dyDescent="0.25">
      <c r="A2" s="1">
        <v>1</v>
      </c>
      <c r="C2" t="s">
        <v>24</v>
      </c>
      <c r="D2" s="2">
        <v>1</v>
      </c>
      <c r="E2" s="7">
        <v>2</v>
      </c>
      <c r="I2" s="16" t="s">
        <v>18</v>
      </c>
      <c r="J2" s="16"/>
      <c r="N2" t="s">
        <v>10</v>
      </c>
    </row>
    <row r="3" spans="1:14" x14ac:dyDescent="0.25">
      <c r="A3" s="1">
        <v>2</v>
      </c>
      <c r="C3" t="s">
        <v>26</v>
      </c>
      <c r="D3" s="1">
        <v>6</v>
      </c>
      <c r="E3" s="7">
        <v>2</v>
      </c>
      <c r="I3" s="16"/>
      <c r="J3" s="16"/>
      <c r="N3" s="6" t="s">
        <v>19</v>
      </c>
    </row>
    <row r="4" spans="1:14" x14ac:dyDescent="0.25">
      <c r="A4" s="1">
        <v>3</v>
      </c>
      <c r="C4" t="s">
        <v>27</v>
      </c>
      <c r="D4" s="2">
        <v>4</v>
      </c>
      <c r="E4" s="7">
        <v>2</v>
      </c>
      <c r="I4" s="16"/>
      <c r="J4" s="16"/>
    </row>
    <row r="5" spans="1:14" x14ac:dyDescent="0.25">
      <c r="A5" s="1">
        <v>4</v>
      </c>
      <c r="C5" t="s">
        <v>28</v>
      </c>
      <c r="D5" s="2">
        <v>2</v>
      </c>
      <c r="E5" s="7">
        <v>2</v>
      </c>
    </row>
    <row r="6" spans="1:14" x14ac:dyDescent="0.25">
      <c r="A6" s="1">
        <v>5</v>
      </c>
      <c r="F6" t="s">
        <v>36</v>
      </c>
      <c r="G6" s="1">
        <v>1</v>
      </c>
      <c r="I6" t="s">
        <v>13</v>
      </c>
      <c r="J6" s="1">
        <v>2</v>
      </c>
    </row>
    <row r="7" spans="1:14" x14ac:dyDescent="0.25">
      <c r="A7" s="1">
        <v>6</v>
      </c>
      <c r="F7" t="s">
        <v>15</v>
      </c>
      <c r="G7" s="2">
        <v>5</v>
      </c>
      <c r="H7" s="7">
        <v>2</v>
      </c>
      <c r="I7" t="s">
        <v>29</v>
      </c>
      <c r="J7" s="1">
        <v>3</v>
      </c>
    </row>
    <row r="8" spans="1:14" x14ac:dyDescent="0.25">
      <c r="A8" s="1">
        <v>7</v>
      </c>
      <c r="F8" t="s">
        <v>25</v>
      </c>
      <c r="G8" s="1">
        <v>2</v>
      </c>
      <c r="H8" s="7">
        <v>2</v>
      </c>
      <c r="I8" t="s">
        <v>30</v>
      </c>
      <c r="J8" s="1">
        <v>3</v>
      </c>
    </row>
    <row r="9" spans="1:14" x14ac:dyDescent="0.25">
      <c r="A9" s="1">
        <v>8</v>
      </c>
      <c r="F9" t="s">
        <v>12</v>
      </c>
      <c r="G9" s="1">
        <v>2</v>
      </c>
      <c r="H9" s="7">
        <v>2</v>
      </c>
      <c r="I9" t="s">
        <v>35</v>
      </c>
      <c r="J9" s="1">
        <v>3</v>
      </c>
    </row>
    <row r="10" spans="1:14" x14ac:dyDescent="0.25">
      <c r="A10" s="1">
        <v>9</v>
      </c>
      <c r="F10" t="s">
        <v>14</v>
      </c>
      <c r="G10" s="1">
        <v>2</v>
      </c>
      <c r="H10" s="7"/>
      <c r="I10" t="s">
        <v>31</v>
      </c>
      <c r="J10" s="1">
        <v>3</v>
      </c>
    </row>
    <row r="11" spans="1:14" x14ac:dyDescent="0.25">
      <c r="A11" s="1">
        <v>10</v>
      </c>
      <c r="F11" t="s">
        <v>9</v>
      </c>
      <c r="G11" s="1">
        <v>2</v>
      </c>
      <c r="H11" s="7"/>
      <c r="I11" t="s">
        <v>32</v>
      </c>
      <c r="J11" s="1">
        <v>3</v>
      </c>
    </row>
    <row r="12" spans="1:14" x14ac:dyDescent="0.25">
      <c r="A12" s="1">
        <v>11</v>
      </c>
      <c r="F12" t="s">
        <v>17</v>
      </c>
      <c r="G12" s="1">
        <v>4</v>
      </c>
      <c r="H12" s="7"/>
      <c r="I12" t="s">
        <v>3</v>
      </c>
      <c r="J12" s="1">
        <v>3</v>
      </c>
    </row>
    <row r="13" spans="1:14" x14ac:dyDescent="0.25">
      <c r="A13" s="1">
        <v>12</v>
      </c>
      <c r="H13" s="7"/>
      <c r="I13" t="s">
        <v>2</v>
      </c>
      <c r="J13" s="1">
        <v>5</v>
      </c>
    </row>
    <row r="14" spans="1:14" x14ac:dyDescent="0.25">
      <c r="A14" s="4">
        <v>13</v>
      </c>
      <c r="B14" s="4"/>
      <c r="I14" t="s">
        <v>37</v>
      </c>
      <c r="J14" s="1">
        <v>5</v>
      </c>
    </row>
    <row r="16" spans="1:14" x14ac:dyDescent="0.25">
      <c r="C16" t="s">
        <v>33</v>
      </c>
      <c r="D16" s="1">
        <v>6</v>
      </c>
    </row>
    <row r="17" spans="3:10" x14ac:dyDescent="0.25">
      <c r="C17" t="s">
        <v>34</v>
      </c>
      <c r="D17" s="8">
        <f>SUM(D2:E5)/$D$16</f>
        <v>3.5</v>
      </c>
      <c r="G17" s="8">
        <f>SUM(G7:H12)/$D$16</f>
        <v>3.8333333333333335</v>
      </c>
      <c r="J17" s="8">
        <f>SUM(J6:K14)/$D$16</f>
        <v>5</v>
      </c>
    </row>
    <row r="19" spans="3:10" x14ac:dyDescent="0.25">
      <c r="C19" t="s">
        <v>20</v>
      </c>
      <c r="D19" s="1">
        <f>SUM(D2:E16) + SUM(G2:H16)</f>
        <v>51</v>
      </c>
      <c r="I19" t="s">
        <v>22</v>
      </c>
      <c r="J19" s="1">
        <f>SUM(J2:J16) + SUM(G2:H16)</f>
        <v>54</v>
      </c>
    </row>
    <row r="20" spans="3:10" x14ac:dyDescent="0.25">
      <c r="I20" t="s">
        <v>23</v>
      </c>
      <c r="J20" s="1">
        <f>SUM(J2:J16) + SUM(G2:H16)</f>
        <v>54</v>
      </c>
    </row>
    <row r="22" spans="3:10" x14ac:dyDescent="0.25">
      <c r="G22" s="2"/>
    </row>
  </sheetData>
  <mergeCells count="3">
    <mergeCell ref="C1:D1"/>
    <mergeCell ref="I1:J1"/>
    <mergeCell ref="I2:J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1F98E-9D44-4E0F-997A-AF89AD6B0614}">
  <dimension ref="A1:N32"/>
  <sheetViews>
    <sheetView tabSelected="1" workbookViewId="0">
      <selection activeCell="F15" sqref="F15"/>
    </sheetView>
  </sheetViews>
  <sheetFormatPr defaultColWidth="56" defaultRowHeight="15" x14ac:dyDescent="0.25"/>
  <cols>
    <col min="1" max="1" width="9.140625" style="1" bestFit="1" customWidth="1"/>
    <col min="2" max="2" width="3.140625" style="1" customWidth="1"/>
    <col min="3" max="3" width="39.42578125" bestFit="1" customWidth="1"/>
    <col min="4" max="4" width="4.5703125" style="1" bestFit="1" customWidth="1"/>
    <col min="5" max="5" width="8.140625" style="5" customWidth="1"/>
    <col min="6" max="6" width="56.140625" bestFit="1" customWidth="1"/>
    <col min="7" max="7" width="8.7109375" style="1" customWidth="1"/>
    <col min="8" max="8" width="8.140625" style="5" customWidth="1"/>
    <col min="9" max="9" width="32.85546875" customWidth="1"/>
    <col min="10" max="10" width="8" style="1" customWidth="1"/>
    <col min="11" max="13" width="2.5703125" customWidth="1"/>
    <col min="14" max="14" width="44.7109375" bestFit="1" customWidth="1"/>
  </cols>
  <sheetData>
    <row r="1" spans="1:14" x14ac:dyDescent="0.25">
      <c r="A1" s="1" t="s">
        <v>16</v>
      </c>
      <c r="C1" s="9" t="s">
        <v>6</v>
      </c>
      <c r="D1" s="9" t="s">
        <v>52</v>
      </c>
      <c r="E1" s="5" t="s">
        <v>5</v>
      </c>
      <c r="F1" s="3" t="s">
        <v>7</v>
      </c>
      <c r="I1" s="14" t="s">
        <v>8</v>
      </c>
      <c r="J1" s="14"/>
    </row>
    <row r="2" spans="1:14" x14ac:dyDescent="0.25">
      <c r="A2" s="1">
        <v>1</v>
      </c>
      <c r="C2" t="s">
        <v>38</v>
      </c>
      <c r="D2" s="2">
        <v>4</v>
      </c>
      <c r="E2" s="7">
        <v>6</v>
      </c>
      <c r="I2" s="16" t="s">
        <v>18</v>
      </c>
      <c r="J2" s="16"/>
      <c r="N2" t="s">
        <v>10</v>
      </c>
    </row>
    <row r="3" spans="1:14" x14ac:dyDescent="0.25">
      <c r="A3" s="1">
        <v>2</v>
      </c>
      <c r="C3" t="s">
        <v>41</v>
      </c>
      <c r="D3" s="2">
        <v>4</v>
      </c>
      <c r="E3" s="7">
        <v>6</v>
      </c>
      <c r="I3" s="16"/>
      <c r="J3" s="16"/>
      <c r="N3" s="6" t="s">
        <v>19</v>
      </c>
    </row>
    <row r="4" spans="1:14" x14ac:dyDescent="0.25">
      <c r="A4" s="1">
        <v>3</v>
      </c>
      <c r="C4" t="s">
        <v>47</v>
      </c>
      <c r="D4" s="2">
        <v>4</v>
      </c>
      <c r="E4" s="7">
        <v>6</v>
      </c>
      <c r="I4" s="16"/>
      <c r="J4" s="16"/>
    </row>
    <row r="5" spans="1:14" x14ac:dyDescent="0.25">
      <c r="A5" s="1">
        <v>4</v>
      </c>
      <c r="C5" s="10" t="s">
        <v>53</v>
      </c>
      <c r="D5" s="11"/>
      <c r="E5" s="12"/>
      <c r="F5" s="10" t="s">
        <v>42</v>
      </c>
      <c r="G5" s="11" t="s">
        <v>52</v>
      </c>
      <c r="H5" s="13" t="s">
        <v>5</v>
      </c>
      <c r="I5" s="10"/>
      <c r="J5" s="11" t="s">
        <v>5</v>
      </c>
    </row>
    <row r="6" spans="1:14" x14ac:dyDescent="0.25">
      <c r="A6" s="1">
        <v>5</v>
      </c>
      <c r="F6" t="s">
        <v>36</v>
      </c>
      <c r="G6" s="1">
        <v>4</v>
      </c>
      <c r="H6" s="5">
        <v>3</v>
      </c>
    </row>
    <row r="7" spans="1:14" x14ac:dyDescent="0.25">
      <c r="A7" s="1">
        <v>6</v>
      </c>
      <c r="F7" t="s">
        <v>44</v>
      </c>
      <c r="G7" s="1">
        <v>4</v>
      </c>
      <c r="H7" s="5">
        <v>3</v>
      </c>
      <c r="I7" t="s">
        <v>51</v>
      </c>
      <c r="J7" s="1">
        <v>3</v>
      </c>
    </row>
    <row r="8" spans="1:14" x14ac:dyDescent="0.25">
      <c r="A8" s="1">
        <v>7</v>
      </c>
      <c r="F8" t="s">
        <v>25</v>
      </c>
      <c r="G8" s="1">
        <v>4</v>
      </c>
      <c r="H8" s="5">
        <v>3</v>
      </c>
      <c r="I8" t="s">
        <v>30</v>
      </c>
      <c r="J8" s="1">
        <v>3</v>
      </c>
    </row>
    <row r="9" spans="1:14" x14ac:dyDescent="0.25">
      <c r="A9" s="1">
        <v>8</v>
      </c>
      <c r="F9" t="s">
        <v>12</v>
      </c>
      <c r="G9" s="1">
        <v>4</v>
      </c>
      <c r="H9" s="5">
        <v>3</v>
      </c>
      <c r="I9" t="s">
        <v>35</v>
      </c>
      <c r="J9" s="1">
        <v>3</v>
      </c>
    </row>
    <row r="10" spans="1:14" x14ac:dyDescent="0.25">
      <c r="A10" s="1">
        <v>9</v>
      </c>
      <c r="F10" t="s">
        <v>43</v>
      </c>
      <c r="H10" s="5">
        <v>2</v>
      </c>
      <c r="I10" t="s">
        <v>31</v>
      </c>
      <c r="J10" s="1">
        <v>3</v>
      </c>
    </row>
    <row r="11" spans="1:14" x14ac:dyDescent="0.25">
      <c r="A11" s="1">
        <v>10</v>
      </c>
      <c r="F11" t="s">
        <v>9</v>
      </c>
      <c r="I11" t="s">
        <v>32</v>
      </c>
      <c r="J11" s="1">
        <v>6</v>
      </c>
      <c r="K11">
        <v>2</v>
      </c>
    </row>
    <row r="12" spans="1:14" x14ac:dyDescent="0.25">
      <c r="A12" s="1">
        <v>11</v>
      </c>
      <c r="F12" t="s">
        <v>17</v>
      </c>
      <c r="I12" t="s">
        <v>3</v>
      </c>
      <c r="J12" s="1">
        <v>6</v>
      </c>
      <c r="K12">
        <v>2</v>
      </c>
    </row>
    <row r="13" spans="1:14" x14ac:dyDescent="0.25">
      <c r="A13" s="1">
        <v>12</v>
      </c>
      <c r="H13" s="7"/>
      <c r="I13" t="s">
        <v>50</v>
      </c>
      <c r="J13" s="1">
        <v>6</v>
      </c>
    </row>
    <row r="14" spans="1:14" x14ac:dyDescent="0.25">
      <c r="A14" s="4">
        <v>13</v>
      </c>
      <c r="B14" s="4"/>
    </row>
    <row r="15" spans="1:14" x14ac:dyDescent="0.25">
      <c r="A15" s="4"/>
      <c r="B15" s="4"/>
    </row>
    <row r="16" spans="1:14" x14ac:dyDescent="0.25">
      <c r="A16" s="4"/>
      <c r="B16" s="4"/>
      <c r="D16" s="1">
        <f>SUM(D2:E13)</f>
        <v>30</v>
      </c>
      <c r="G16" s="1">
        <f>SUM(G2:H13)</f>
        <v>30</v>
      </c>
      <c r="J16" s="1">
        <f>SUM(J6:K13)</f>
        <v>34</v>
      </c>
    </row>
    <row r="17" spans="1:10" x14ac:dyDescent="0.25">
      <c r="A17" s="4"/>
      <c r="B17" s="4"/>
    </row>
    <row r="19" spans="1:10" x14ac:dyDescent="0.25">
      <c r="C19" t="s">
        <v>33</v>
      </c>
      <c r="D19" s="1">
        <v>8</v>
      </c>
    </row>
    <row r="20" spans="1:10" x14ac:dyDescent="0.25">
      <c r="C20" t="s">
        <v>34</v>
      </c>
      <c r="D20" s="8">
        <f>SUM(D2:E5)/$D$19</f>
        <v>3.75</v>
      </c>
      <c r="G20" s="8">
        <f>SUM(G6:H12)/$D$19</f>
        <v>3.75</v>
      </c>
      <c r="J20" s="8">
        <f>SUM(J6:K14)/$D$19</f>
        <v>4.25</v>
      </c>
    </row>
    <row r="22" spans="1:10" x14ac:dyDescent="0.25">
      <c r="C22" t="s">
        <v>20</v>
      </c>
      <c r="D22" s="1">
        <f>SUM(D2:E19) + SUM(G2:H19)</f>
        <v>128</v>
      </c>
      <c r="I22" t="s">
        <v>22</v>
      </c>
      <c r="J22" s="1">
        <f>SUM(J2:J19) + SUM(G2:H19)</f>
        <v>124</v>
      </c>
    </row>
    <row r="23" spans="1:10" x14ac:dyDescent="0.25">
      <c r="I23" t="s">
        <v>23</v>
      </c>
      <c r="J23" s="1">
        <f>SUM(J2:J19) + SUM(G2:H19)</f>
        <v>124</v>
      </c>
    </row>
    <row r="25" spans="1:10" x14ac:dyDescent="0.25">
      <c r="G25" s="2"/>
    </row>
    <row r="27" spans="1:10" x14ac:dyDescent="0.25">
      <c r="F27" t="s">
        <v>39</v>
      </c>
    </row>
    <row r="28" spans="1:10" x14ac:dyDescent="0.25">
      <c r="F28" t="s">
        <v>40</v>
      </c>
    </row>
    <row r="29" spans="1:10" x14ac:dyDescent="0.25">
      <c r="F29" t="s">
        <v>46</v>
      </c>
    </row>
    <row r="30" spans="1:10" x14ac:dyDescent="0.25">
      <c r="F30" t="s">
        <v>49</v>
      </c>
    </row>
    <row r="31" spans="1:10" x14ac:dyDescent="0.25">
      <c r="F31" t="s">
        <v>45</v>
      </c>
    </row>
    <row r="32" spans="1:10" x14ac:dyDescent="0.25">
      <c r="F32" t="s">
        <v>48</v>
      </c>
    </row>
  </sheetData>
  <mergeCells count="2">
    <mergeCell ref="I1:J1"/>
    <mergeCell ref="I2:J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02db4bc-c6c4-40e6-8aad-5a8f460587f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566E108D33334B97165BF31FCBCCC1" ma:contentTypeVersion="18" ma:contentTypeDescription="Create a new document." ma:contentTypeScope="" ma:versionID="458ddba3c96e7728d5476e0ecbdbca61">
  <xsd:schema xmlns:xsd="http://www.w3.org/2001/XMLSchema" xmlns:xs="http://www.w3.org/2001/XMLSchema" xmlns:p="http://schemas.microsoft.com/office/2006/metadata/properties" xmlns:ns3="f02db4bc-c6c4-40e6-8aad-5a8f460587f5" xmlns:ns4="6fcfe142-7d44-4ada-86e7-18043732cba5" targetNamespace="http://schemas.microsoft.com/office/2006/metadata/properties" ma:root="true" ma:fieldsID="91e641365d24dc3870d80936565c7cd0" ns3:_="" ns4:_="">
    <xsd:import namespace="f02db4bc-c6c4-40e6-8aad-5a8f460587f5"/>
    <xsd:import namespace="6fcfe142-7d44-4ada-86e7-18043732cba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2db4bc-c6c4-40e6-8aad-5a8f460587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cfe142-7d44-4ada-86e7-18043732cba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34BDA0-7C52-4A33-B97C-78FAFB3B7D7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7B2FB9-9949-496F-920C-83B2E3932630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purl.org/dc/dcmitype/"/>
    <ds:schemaRef ds:uri="http://schemas.microsoft.com/office/2006/metadata/properties"/>
    <ds:schemaRef ds:uri="6fcfe142-7d44-4ada-86e7-18043732cba5"/>
    <ds:schemaRef ds:uri="http://schemas.microsoft.com/office/infopath/2007/PartnerControls"/>
    <ds:schemaRef ds:uri="http://schemas.openxmlformats.org/package/2006/metadata/core-properties"/>
    <ds:schemaRef ds:uri="f02db4bc-c6c4-40e6-8aad-5a8f460587f5"/>
  </ds:schemaRefs>
</ds:datastoreItem>
</file>

<file path=customXml/itemProps3.xml><?xml version="1.0" encoding="utf-8"?>
<ds:datastoreItem xmlns:ds="http://schemas.openxmlformats.org/officeDocument/2006/customXml" ds:itemID="{9C5314B8-D6B3-43DB-93DE-F06EA2AAEE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2db4bc-c6c4-40e6-8aad-5a8f460587f5"/>
    <ds:schemaRef ds:uri="6fcfe142-7d44-4ada-86e7-18043732cb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>Alma Mater Studiorum - Università di Bologna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Francia</dc:creator>
  <cp:lastModifiedBy>Matteo Golfarelli</cp:lastModifiedBy>
  <dcterms:created xsi:type="dcterms:W3CDTF">2025-07-16T09:34:28Z</dcterms:created>
  <dcterms:modified xsi:type="dcterms:W3CDTF">2025-12-17T16:13:53Z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0x010100F9566E108D33334B97165BF31FCBCCC1</vt:lpwstr>
  </property>
</Properties>
</file>