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" yWindow="24" windowWidth="30168" windowHeight="14388" tabRatio="600" firstSheet="0" activeTab="0" autoFilterDateGrouping="1"/>
  </bookViews>
  <sheets>
    <sheet xmlns:r="http://schemas.openxmlformats.org/officeDocument/2006/relationships" name="AA2627" sheetId="1" state="visible" r:id="rId1"/>
    <sheet xmlns:r="http://schemas.openxmlformats.org/officeDocument/2006/relationships" name="AA2526" sheetId="2" state="visible" r:id="rId2"/>
    <sheet xmlns:r="http://schemas.openxmlformats.org/officeDocument/2006/relationships" name="AA2425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9" fontId="3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" fontId="0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1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4" fontId="0" fillId="0" borderId="0" pivotButton="0" quotePrefix="0" xfId="0"/>
    <xf numFmtId="1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9" fontId="0" fillId="0" borderId="0" applyAlignment="1" pivotButton="0" quotePrefix="0" xfId="1">
      <alignment horizontal="center"/>
    </xf>
    <xf numFmtId="0" fontId="4" fillId="0" borderId="0" pivotButton="0" quotePrefix="0" xfId="0"/>
    <xf numFmtId="1" fontId="0" fillId="0" borderId="0" applyAlignment="1" pivotButton="0" quotePrefix="0" xfId="0">
      <alignment horizontal="left" wrapText="1"/>
    </xf>
  </cellXfs>
  <cellStyles count="2">
    <cellStyle name="Normale" xfId="0" builtinId="0"/>
    <cellStyle name="Percentual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75" zoomScaleNormal="175" workbookViewId="0">
      <selection activeCell="E17" sqref="E17"/>
    </sheetView>
  </sheetViews>
  <sheetFormatPr baseColWidth="8" defaultRowHeight="14.4"/>
  <cols>
    <col width="10.5546875" bestFit="1" customWidth="1" min="1" max="1"/>
    <col width="4.21875" bestFit="1" customWidth="1" min="2" max="2"/>
    <col width="15.21875" customWidth="1" min="3" max="3"/>
    <col width="6.6640625" bestFit="1" customWidth="1" min="4" max="4"/>
    <col width="38.6640625" bestFit="1" customWidth="1" min="5" max="5"/>
    <col width="22.6640625" bestFit="1" customWidth="1" min="6" max="6"/>
    <col width="8.33203125" bestFit="1" customWidth="1" min="7" max="7"/>
  </cols>
  <sheetData>
    <row r="1">
      <c r="A1" s="2" t="inlineStr">
        <is>
          <t>When</t>
        </is>
      </c>
      <c r="B1" s="3" t="inlineStr">
        <is>
          <t>Day</t>
        </is>
      </c>
      <c r="C1" s="11" t="inlineStr">
        <is>
          <t>Room</t>
        </is>
      </c>
      <c r="D1" s="3" t="inlineStr">
        <is>
          <t>What</t>
        </is>
      </c>
      <c r="E1" s="2" t="inlineStr">
        <is>
          <t>Lectures (in Class)</t>
        </is>
      </c>
      <c r="F1" s="3" t="inlineStr">
        <is>
          <t>Follow-up at home</t>
        </is>
      </c>
      <c r="G1" s="3" t="inlineStr">
        <is>
          <t>Duration</t>
        </is>
      </c>
      <c r="H1" s="3" t="inlineStr">
        <is>
          <t>Coverage</t>
        </is>
      </c>
    </row>
    <row r="2">
      <c r="A2" s="12" t="n">
        <v>46279</v>
      </c>
      <c r="B2" s="5">
        <f>WEEKDAY(A2)-1</f>
        <v/>
      </c>
      <c r="C2" s="18" t="inlineStr">
        <is>
          <t>LAB. 3.3 (9-12)</t>
        </is>
      </c>
      <c r="D2" s="5" t="inlineStr">
        <is>
          <t>Lab</t>
        </is>
      </c>
      <c r="E2" t="inlineStr">
        <is>
          <t>Intro + 01-ML + Evaluation</t>
        </is>
      </c>
      <c r="G2" s="7" t="n">
        <v>3</v>
      </c>
      <c r="H2" s="16">
        <f>SUM($G$2:G2)/$G$20</f>
        <v/>
      </c>
    </row>
    <row r="3">
      <c r="A3" s="12" t="n">
        <v>46280</v>
      </c>
      <c r="B3" s="5">
        <f>WEEKDAY(A3)-1</f>
        <v/>
      </c>
      <c r="C3" s="10" t="inlineStr">
        <is>
          <t>AULA 2.4 (9-11)</t>
        </is>
      </c>
      <c r="D3" s="8" t="inlineStr">
        <is>
          <t>Theory</t>
        </is>
      </c>
      <c r="E3" t="inlineStr">
        <is>
          <t>02-DT</t>
        </is>
      </c>
      <c r="G3" s="7" t="n">
        <v>2</v>
      </c>
      <c r="H3" s="16">
        <f>SUM($G$2:G3)/$G$20</f>
        <v/>
      </c>
    </row>
    <row r="4">
      <c r="A4" s="12" t="n">
        <v>46280</v>
      </c>
      <c r="B4" s="5">
        <f>WEEKDAY(A4)-1</f>
        <v/>
      </c>
      <c r="C4" s="18" t="inlineStr">
        <is>
          <t>LAB. 3.3 (14-17)</t>
        </is>
      </c>
      <c r="D4" s="5" t="inlineStr">
        <is>
          <t>Lab</t>
        </is>
      </c>
      <c r="E4" t="inlineStr">
        <is>
          <t>Lab 00 - Intro to libraries</t>
        </is>
      </c>
      <c r="G4" s="7" t="n">
        <v>3</v>
      </c>
      <c r="H4" s="16">
        <f>SUM($G$2:G4)/$G$20</f>
        <v/>
      </c>
    </row>
    <row r="5">
      <c r="A5" s="12" t="n">
        <v>46281</v>
      </c>
      <c r="B5" s="5">
        <f>WEEKDAY(A5)-1</f>
        <v/>
      </c>
      <c r="C5" s="10" t="inlineStr">
        <is>
          <t>AULA 3.7 (14-16)</t>
        </is>
      </c>
      <c r="D5" s="8" t="inlineStr">
        <is>
          <t>Theory</t>
        </is>
      </c>
      <c r="E5" t="inlineStr">
        <is>
          <t>02-DT + 03-KNN</t>
        </is>
      </c>
      <c r="G5" s="7" t="n">
        <v>2</v>
      </c>
      <c r="H5" s="16">
        <f>SUM($G$2:G5)/$G$20</f>
        <v/>
      </c>
    </row>
    <row r="6">
      <c r="A6" s="12">
        <f>A2+7</f>
        <v/>
      </c>
      <c r="B6" s="5">
        <f>WEEKDAY(A6)-1</f>
        <v/>
      </c>
      <c r="C6" s="18" t="inlineStr">
        <is>
          <t>LAB. 3.3 (9-12)</t>
        </is>
      </c>
      <c r="D6" s="5" t="inlineStr">
        <is>
          <t>Lab</t>
        </is>
      </c>
      <c r="E6" s="15" t="inlineStr">
        <is>
          <t>Lab-Classification</t>
        </is>
      </c>
      <c r="G6" s="7" t="n">
        <v>3</v>
      </c>
      <c r="H6" s="16">
        <f>SUM($G$2:G6)/$G$20</f>
        <v/>
      </c>
    </row>
    <row r="7">
      <c r="A7" s="12">
        <f>A3+7</f>
        <v/>
      </c>
      <c r="B7" s="5">
        <f>WEEKDAY(A7)-1</f>
        <v/>
      </c>
      <c r="C7" s="10" t="inlineStr">
        <is>
          <t>AULA 2.4 (9-11)</t>
        </is>
      </c>
      <c r="D7" s="8" t="inlineStr">
        <is>
          <t>Theory</t>
        </is>
      </c>
      <c r="E7" s="15" t="inlineStr">
        <is>
          <t>05-NN</t>
        </is>
      </c>
      <c r="G7" s="7" t="n">
        <v>2</v>
      </c>
      <c r="H7" s="16">
        <f>SUM($G$2:G7)/$G$20</f>
        <v/>
      </c>
    </row>
    <row r="8">
      <c r="A8" s="12">
        <f>A4+7</f>
        <v/>
      </c>
      <c r="B8" s="5">
        <f>WEEKDAY(A8)-1</f>
        <v/>
      </c>
      <c r="C8" s="18" t="inlineStr">
        <is>
          <t>LAB. 3.3 (14-17)</t>
        </is>
      </c>
      <c r="D8" s="5" t="inlineStr">
        <is>
          <t>Lab</t>
        </is>
      </c>
      <c r="E8" s="15" t="inlineStr">
        <is>
          <t>Modeling</t>
        </is>
      </c>
      <c r="G8" s="7" t="n">
        <v>3</v>
      </c>
      <c r="H8" s="16">
        <f>SUM($G$2:G8)/$G$20</f>
        <v/>
      </c>
    </row>
    <row r="9">
      <c r="A9" s="12">
        <f>A5+7</f>
        <v/>
      </c>
      <c r="B9" s="5">
        <f>WEEKDAY(A9)-1</f>
        <v/>
      </c>
      <c r="C9" s="10" t="inlineStr">
        <is>
          <t>AULA 3.7 (14-16)</t>
        </is>
      </c>
      <c r="D9" s="8" t="inlineStr">
        <is>
          <t>Theory</t>
        </is>
      </c>
      <c r="E9" t="inlineStr">
        <is>
          <t>Clustering</t>
        </is>
      </c>
      <c r="F9" t="inlineStr">
        <is>
          <t>Ensemble?</t>
        </is>
      </c>
      <c r="G9" s="7" t="n">
        <v>2</v>
      </c>
      <c r="H9" s="16">
        <f>SUM($G$2:G9)/$G$20</f>
        <v/>
      </c>
    </row>
    <row r="10">
      <c r="A10" s="12">
        <f>A6+7</f>
        <v/>
      </c>
      <c r="B10" s="5">
        <f>WEEKDAY(A10)-1</f>
        <v/>
      </c>
      <c r="C10" s="18" t="inlineStr">
        <is>
          <t>LAB. 3.3 (9-12)</t>
        </is>
      </c>
      <c r="D10" s="5" t="inlineStr">
        <is>
          <t>Lab</t>
        </is>
      </c>
      <c r="E10" s="15" t="inlineStr">
        <is>
          <t>-</t>
        </is>
      </c>
      <c r="G10" s="7" t="inlineStr">
        <is>
          <t>-</t>
        </is>
      </c>
      <c r="H10" s="16">
        <f>SUM($G$2:G10)/$G$20</f>
        <v/>
      </c>
    </row>
    <row r="11">
      <c r="A11" s="12">
        <f>A7+7</f>
        <v/>
      </c>
      <c r="B11" s="5">
        <f>WEEKDAY(A11)-1</f>
        <v/>
      </c>
      <c r="C11" s="10" t="inlineStr">
        <is>
          <t>AULA 2.4 (9-11)</t>
        </is>
      </c>
      <c r="D11" s="8" t="inlineStr">
        <is>
          <t>Theory</t>
        </is>
      </c>
      <c r="E11" s="15" t="inlineStr">
        <is>
          <t>-</t>
        </is>
      </c>
      <c r="G11" s="7" t="inlineStr">
        <is>
          <t>-</t>
        </is>
      </c>
      <c r="H11" s="16">
        <f>SUM($G$2:G11)/$G$20</f>
        <v/>
      </c>
    </row>
    <row r="12">
      <c r="A12" s="12">
        <f>A8+7</f>
        <v/>
      </c>
      <c r="B12" s="5">
        <f>WEEKDAY(A12)-1</f>
        <v/>
      </c>
      <c r="C12" s="18" t="inlineStr">
        <is>
          <t>LAB. 3.3 (14-17)</t>
        </is>
      </c>
      <c r="D12" s="5" t="inlineStr">
        <is>
          <t>Lab</t>
        </is>
      </c>
      <c r="E12" s="17" t="inlineStr">
        <is>
          <t>-</t>
        </is>
      </c>
      <c r="G12" s="7" t="inlineStr">
        <is>
          <t>-</t>
        </is>
      </c>
      <c r="H12" s="16">
        <f>SUM($G$2:G12)/$G$20</f>
        <v/>
      </c>
    </row>
    <row r="13">
      <c r="A13" s="12">
        <f>A9+7</f>
        <v/>
      </c>
      <c r="B13" s="5">
        <f>WEEKDAY(A13)-1</f>
        <v/>
      </c>
      <c r="C13" s="10" t="inlineStr">
        <is>
          <t>AULA 3.7 (14-16)</t>
        </is>
      </c>
      <c r="D13" s="8" t="inlineStr">
        <is>
          <t>Theory</t>
        </is>
      </c>
      <c r="E13" s="17" t="inlineStr">
        <is>
          <t>-</t>
        </is>
      </c>
      <c r="G13" s="7" t="inlineStr">
        <is>
          <t>-</t>
        </is>
      </c>
      <c r="H13" s="16">
        <f>SUM($G$2:G13)/$G$20</f>
        <v/>
      </c>
    </row>
    <row r="14">
      <c r="A14" s="12">
        <f>A10+7</f>
        <v/>
      </c>
      <c r="B14" s="5">
        <f>WEEKDAY(A14)-1</f>
        <v/>
      </c>
      <c r="C14" s="18" t="inlineStr">
        <is>
          <t>LAB. 3.3 (9-12)</t>
        </is>
      </c>
      <c r="D14" s="5" t="inlineStr">
        <is>
          <t>Lab</t>
        </is>
      </c>
      <c r="E14" t="inlineStr">
        <is>
          <t>Clustering</t>
        </is>
      </c>
      <c r="G14" s="7" t="n">
        <v>3</v>
      </c>
      <c r="H14" s="16">
        <f>SUM($G$2:G14)/$G$20</f>
        <v/>
      </c>
    </row>
    <row r="15">
      <c r="A15" s="12">
        <f>A11+7</f>
        <v/>
      </c>
      <c r="B15" s="5">
        <f>WEEKDAY(A15)-1</f>
        <v/>
      </c>
      <c r="C15" s="10" t="inlineStr">
        <is>
          <t>AULA 2.4 (9-11)</t>
        </is>
      </c>
      <c r="D15" s="8" t="inlineStr">
        <is>
          <t>Theory</t>
        </is>
      </c>
      <c r="E15" s="15" t="inlineStr">
        <is>
          <t>Association rules</t>
        </is>
      </c>
      <c r="G15" s="7" t="n">
        <v>2</v>
      </c>
      <c r="H15" s="16">
        <f>SUM($G$2:G15)/$G$20</f>
        <v/>
      </c>
    </row>
    <row r="16">
      <c r="A16" s="12">
        <f>A12+7</f>
        <v/>
      </c>
      <c r="B16" s="5">
        <f>WEEKDAY(A16)-1</f>
        <v/>
      </c>
      <c r="C16" s="18" t="inlineStr">
        <is>
          <t>LAB. 3.3 (14-17)</t>
        </is>
      </c>
      <c r="D16" s="5" t="inlineStr">
        <is>
          <t>Lab</t>
        </is>
      </c>
      <c r="E16" s="15" t="inlineStr">
        <is>
          <t>Association rules</t>
        </is>
      </c>
      <c r="G16" s="7" t="n">
        <v>3</v>
      </c>
      <c r="H16" s="16">
        <f>SUM($G$2:G16)/$G$20</f>
        <v/>
      </c>
    </row>
    <row r="17">
      <c r="A17" s="12">
        <f>A13+7</f>
        <v/>
      </c>
      <c r="B17" s="5">
        <f>WEEKDAY(A17)-1</f>
        <v/>
      </c>
      <c r="C17" s="10" t="inlineStr">
        <is>
          <t>AULA 3.7 (14-16)</t>
        </is>
      </c>
      <c r="D17" s="8" t="inlineStr">
        <is>
          <t>Theory</t>
        </is>
      </c>
      <c r="E17" t="inlineStr">
        <is>
          <t>Summing Up</t>
        </is>
      </c>
      <c r="G17" s="7" t="n">
        <v>2</v>
      </c>
      <c r="H17" s="16">
        <f>SUM($G$2:G17)/$G$20</f>
        <v/>
      </c>
    </row>
    <row r="18">
      <c r="H18" s="16" t="n"/>
    </row>
    <row r="19">
      <c r="E19" s="9" t="inlineStr">
        <is>
          <t>Tot</t>
        </is>
      </c>
      <c r="G19" s="5">
        <f>SUM(G2:G17)</f>
        <v/>
      </c>
      <c r="H19" s="4" t="n"/>
    </row>
    <row r="20">
      <c r="E20" s="9" t="inlineStr">
        <is>
          <t>Max</t>
        </is>
      </c>
      <c r="G20" s="1" t="n">
        <v>30</v>
      </c>
      <c r="H20" s="1" t="n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205" zoomScaleNormal="205" workbookViewId="0">
      <selection activeCell="H17" sqref="A1:H17"/>
    </sheetView>
  </sheetViews>
  <sheetFormatPr baseColWidth="8" defaultRowHeight="14.4"/>
  <cols>
    <col width="10.44140625" bestFit="1" customWidth="1" min="1" max="1"/>
    <col width="4.21875" customWidth="1" style="1" min="2" max="2"/>
    <col width="13.21875" customWidth="1" style="14" min="3" max="3"/>
    <col width="6.77734375" bestFit="1" customWidth="1" style="1" min="4" max="4"/>
    <col width="39.21875" bestFit="1" customWidth="1" min="5" max="5"/>
    <col width="22.77734375" bestFit="1" customWidth="1" min="6" max="6"/>
    <col width="8.21875" customWidth="1" style="1" min="7" max="7"/>
    <col width="8.77734375" bestFit="1" customWidth="1" style="1" min="8" max="8"/>
    <col width="6.21875" bestFit="1" customWidth="1" style="1" min="9" max="9"/>
  </cols>
  <sheetData>
    <row r="1">
      <c r="A1" s="2" t="inlineStr">
        <is>
          <t>When</t>
        </is>
      </c>
      <c r="B1" s="3" t="inlineStr">
        <is>
          <t>Day</t>
        </is>
      </c>
      <c r="C1" s="11" t="inlineStr">
        <is>
          <t>Room</t>
        </is>
      </c>
      <c r="D1" s="3" t="inlineStr">
        <is>
          <t>What</t>
        </is>
      </c>
      <c r="E1" s="2" t="inlineStr">
        <is>
          <t>Lectures (in Class)</t>
        </is>
      </c>
      <c r="F1" s="3" t="inlineStr">
        <is>
          <t>Follow-up at home</t>
        </is>
      </c>
      <c r="G1" s="3" t="inlineStr">
        <is>
          <t>Duration</t>
        </is>
      </c>
      <c r="H1" s="3" t="inlineStr">
        <is>
          <t>Coverage</t>
        </is>
      </c>
      <c r="I1" s="3" t="n"/>
    </row>
    <row r="2">
      <c r="A2" s="12" t="n">
        <v>45924</v>
      </c>
      <c r="B2" s="5">
        <f>WEEKDAY(A2)-1</f>
        <v/>
      </c>
      <c r="C2" s="10" t="inlineStr">
        <is>
          <t>Lab 4.2 (13-15)</t>
        </is>
      </c>
      <c r="D2" s="8" t="inlineStr">
        <is>
          <t>Theory</t>
        </is>
      </c>
      <c r="E2" t="inlineStr">
        <is>
          <t>Intro + CRISP-DM</t>
        </is>
      </c>
      <c r="F2" t="inlineStr">
        <is>
          <t>Lab: Introduction to Colab</t>
        </is>
      </c>
      <c r="G2" s="7" t="n">
        <v>2</v>
      </c>
      <c r="H2" s="16">
        <f>SUM($G$2:G2)/$G$17</f>
        <v/>
      </c>
    </row>
    <row r="3">
      <c r="A3" s="12">
        <f>A2+7</f>
        <v/>
      </c>
      <c r="B3" s="5">
        <f>WEEKDAY(A3)-1</f>
        <v/>
      </c>
      <c r="C3" s="10" t="inlineStr">
        <is>
          <t>Lab 4.2 (13-15)</t>
        </is>
      </c>
      <c r="D3" s="8" t="inlineStr">
        <is>
          <t>Theory</t>
        </is>
      </c>
      <c r="E3" t="inlineStr">
        <is>
          <t>Business Understanding</t>
        </is>
      </c>
      <c r="F3" t="inlineStr">
        <is>
          <t>CS: Sport</t>
        </is>
      </c>
      <c r="G3" s="7" t="n">
        <v>2</v>
      </c>
      <c r="H3" s="16">
        <f>SUM($G$2:G3)/$G$17</f>
        <v/>
      </c>
    </row>
    <row r="4">
      <c r="A4" s="12">
        <f>A3+7</f>
        <v/>
      </c>
      <c r="B4" s="5">
        <f>WEEKDAY(A4)-1</f>
        <v/>
      </c>
      <c r="C4" s="10" t="inlineStr">
        <is>
          <t>Lab 4.2 (13-15)</t>
        </is>
      </c>
      <c r="D4" s="8" t="inlineStr">
        <is>
          <t>Theory</t>
        </is>
      </c>
      <c r="E4" t="inlineStr">
        <is>
          <t>Data Understanding</t>
        </is>
      </c>
      <c r="F4" t="inlineStr">
        <is>
          <t>Lab: Understanding</t>
        </is>
      </c>
      <c r="G4" s="7" t="n">
        <v>2</v>
      </c>
      <c r="H4" s="16">
        <f>SUM($G$2:G4)/$G$17</f>
        <v/>
      </c>
    </row>
    <row r="5">
      <c r="A5" s="12">
        <f>A4+7</f>
        <v/>
      </c>
      <c r="B5" s="5">
        <f>WEEKDAY(A5)-1</f>
        <v/>
      </c>
      <c r="C5" s="10" t="inlineStr">
        <is>
          <t>Lab 4.2 (13-15)</t>
        </is>
      </c>
      <c r="D5" s="5" t="inlineStr">
        <is>
          <t>Lab</t>
        </is>
      </c>
      <c r="E5" t="inlineStr">
        <is>
          <t>Lab: Housing (Data Understanding)</t>
        </is>
      </c>
      <c r="G5" s="7" t="n">
        <v>2</v>
      </c>
      <c r="H5" s="16">
        <f>SUM($G$2:G5)/$G$17</f>
        <v/>
      </c>
    </row>
    <row r="6">
      <c r="A6" s="12">
        <f>A5+7</f>
        <v/>
      </c>
      <c r="B6" s="5">
        <f>WEEKDAY(A6)-1</f>
        <v/>
      </c>
      <c r="C6" s="10" t="inlineStr">
        <is>
          <t>Lab 4.2 (13-15)</t>
        </is>
      </c>
      <c r="D6" s="8" t="inlineStr">
        <is>
          <t>Theory</t>
        </is>
      </c>
      <c r="E6" s="15" t="inlineStr">
        <is>
          <t>Data preprocessing (until data normalization)</t>
        </is>
      </c>
      <c r="G6" s="7" t="n">
        <v>2</v>
      </c>
      <c r="H6" s="16">
        <f>SUM($G$2:G6)/$G$17</f>
        <v/>
      </c>
    </row>
    <row r="7">
      <c r="A7" s="12">
        <f>A6+7</f>
        <v/>
      </c>
      <c r="B7" s="5">
        <f>WEEKDAY(A7)-1</f>
        <v/>
      </c>
      <c r="C7" s="10" t="inlineStr">
        <is>
          <t>Lab 4.2 (13-15)</t>
        </is>
      </c>
      <c r="D7" s="8" t="inlineStr">
        <is>
          <t>Theory</t>
        </is>
      </c>
      <c r="E7" t="inlineStr">
        <is>
          <t>Data preprocessing, Lab: Housing</t>
        </is>
      </c>
      <c r="F7" t="inlineStr">
        <is>
          <t>Lab: Preprocessing</t>
        </is>
      </c>
      <c r="G7" s="7" t="n">
        <v>2</v>
      </c>
      <c r="H7" s="16">
        <f>SUM($G$2:G7)/$G$17</f>
        <v/>
      </c>
    </row>
    <row r="8">
      <c r="A8" s="12">
        <f>A7+7</f>
        <v/>
      </c>
      <c r="B8" s="5">
        <f>WEEKDAY(A8)-1</f>
        <v/>
      </c>
      <c r="C8" s="10" t="inlineStr">
        <is>
          <t>Lab 4.2 (13-15)</t>
        </is>
      </c>
      <c r="D8" s="8" t="inlineStr">
        <is>
          <t>Theory</t>
        </is>
      </c>
      <c r="E8" t="inlineStr">
        <is>
          <t>(Deep) neural networks</t>
        </is>
      </c>
      <c r="G8" s="7" t="n">
        <v>2</v>
      </c>
      <c r="H8" s="16">
        <f>SUM($G$2:G8)/$G$17</f>
        <v/>
      </c>
    </row>
    <row r="9">
      <c r="A9" s="12">
        <f>A8+7</f>
        <v/>
      </c>
      <c r="B9" s="5">
        <f>WEEKDAY(A9)-1</f>
        <v/>
      </c>
      <c r="C9" s="10" t="inlineStr">
        <is>
          <t>Lab 4.2 (13-15)</t>
        </is>
      </c>
      <c r="D9" s="5" t="inlineStr">
        <is>
          <t>Lab</t>
        </is>
      </c>
      <c r="E9" s="15" t="inlineStr">
        <is>
          <t>Modeling (until k-nn)</t>
        </is>
      </c>
      <c r="G9" s="7" t="n">
        <v>2</v>
      </c>
      <c r="H9" s="16">
        <f>SUM($G$2:G9)/$G$17</f>
        <v/>
      </c>
    </row>
    <row r="10">
      <c r="A10" s="12">
        <f>A9+7</f>
        <v/>
      </c>
      <c r="B10" s="5">
        <f>WEEKDAY(A10)-1</f>
        <v/>
      </c>
      <c r="C10" s="10" t="inlineStr">
        <is>
          <t>Lab 4.2 (13-15)</t>
        </is>
      </c>
      <c r="D10" s="5" t="inlineStr">
        <is>
          <t>Lab</t>
        </is>
      </c>
      <c r="E10" t="inlineStr">
        <is>
          <t>Modeling, Lab: Housing (until AutoML)</t>
        </is>
      </c>
      <c r="G10" s="7" t="n">
        <v>2</v>
      </c>
      <c r="H10" s="16">
        <f>SUM($G$2:G10)/$G$17</f>
        <v/>
      </c>
    </row>
    <row r="11">
      <c r="A11" s="12">
        <f>A10+7</f>
        <v/>
      </c>
      <c r="B11" s="5">
        <f>WEEKDAY(A11)-1</f>
        <v/>
      </c>
      <c r="C11" s="10" t="inlineStr">
        <is>
          <t>Lab 4.2 (13-15)</t>
        </is>
      </c>
      <c r="D11" s="8" t="inlineStr">
        <is>
          <t>Theory</t>
        </is>
      </c>
      <c r="E11" s="15" t="inlineStr">
        <is>
          <t>AutoML + Fairness</t>
        </is>
      </c>
      <c r="G11" s="7" t="n">
        <v>2</v>
      </c>
      <c r="H11" s="16">
        <f>SUM($G$2:G11)/$G$17</f>
        <v/>
      </c>
    </row>
    <row r="12">
      <c r="A12" s="12">
        <f>A11+7</f>
        <v/>
      </c>
      <c r="B12" s="5">
        <f>WEEKDAY(A12)-1</f>
        <v/>
      </c>
      <c r="C12" s="10" t="inlineStr">
        <is>
          <t>Lab 4.2 (13-15)</t>
        </is>
      </c>
      <c r="D12" s="5" t="inlineStr">
        <is>
          <t>Lab</t>
        </is>
      </c>
      <c r="E12" s="17" t="inlineStr">
        <is>
          <t>Lab: Challenge</t>
        </is>
      </c>
      <c r="G12" s="7" t="n">
        <v>2</v>
      </c>
      <c r="H12" s="16">
        <f>SUM($G$2:G12)/$G$17</f>
        <v/>
      </c>
    </row>
    <row r="13">
      <c r="A13" s="12">
        <f>A12+7</f>
        <v/>
      </c>
      <c r="B13" s="5">
        <f>WEEKDAY(A13)-1</f>
        <v/>
      </c>
      <c r="C13" s="10" t="inlineStr">
        <is>
          <t>Lab 4.2 (13-15)</t>
        </is>
      </c>
      <c r="D13" s="5" t="inlineStr">
        <is>
          <t>Lab</t>
        </is>
      </c>
      <c r="E13" s="17" t="inlineStr">
        <is>
          <t>Lab: Challenge Solution + Peer Review</t>
        </is>
      </c>
      <c r="G13" s="7" t="n">
        <v>2</v>
      </c>
      <c r="H13" s="16">
        <f>SUM($G$2:G13)/$G$17</f>
        <v/>
      </c>
    </row>
    <row r="14">
      <c r="A14" s="12">
        <f>A13+7</f>
        <v/>
      </c>
      <c r="B14" s="5">
        <f>WEEKDAY(A14)-1</f>
        <v/>
      </c>
      <c r="C14" s="10" t="inlineStr">
        <is>
          <t>Lab 4.2 (13-15)</t>
        </is>
      </c>
      <c r="D14" s="5" t="n"/>
      <c r="G14" s="7" t="inlineStr">
        <is>
          <t>-</t>
        </is>
      </c>
      <c r="H14" s="4">
        <f>SUM($G$2:G14)/$G$17</f>
        <v/>
      </c>
    </row>
    <row r="15">
      <c r="A15" s="12" t="n"/>
      <c r="B15" s="5" t="n"/>
      <c r="C15" s="10" t="n"/>
      <c r="D15" s="5" t="n"/>
      <c r="G15" s="5" t="inlineStr">
        <is>
          <t>-</t>
        </is>
      </c>
      <c r="H15" s="4">
        <f>SUM($G$2:G15)/$G$17</f>
        <v/>
      </c>
    </row>
    <row r="16">
      <c r="A16" s="12" t="n"/>
      <c r="B16" s="6" t="n"/>
      <c r="C16" s="13" t="n"/>
      <c r="D16" s="6" t="n"/>
      <c r="E16" s="9" t="inlineStr">
        <is>
          <t>Tot</t>
        </is>
      </c>
      <c r="G16" s="5">
        <f>SUM(G2:G14)</f>
        <v/>
      </c>
      <c r="H16" s="4" t="n"/>
    </row>
    <row r="17">
      <c r="E17" s="9" t="inlineStr">
        <is>
          <t>Max</t>
        </is>
      </c>
      <c r="G17" s="1" t="n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250" zoomScaleNormal="250" workbookViewId="0">
      <selection activeCell="E7" sqref="E7"/>
    </sheetView>
  </sheetViews>
  <sheetFormatPr baseColWidth="8" defaultRowHeight="14.4"/>
  <cols>
    <col width="12.77734375" customWidth="1" min="1" max="1"/>
    <col hidden="1" width="4.21875" customWidth="1" style="1" min="2" max="2"/>
    <col width="13.21875" bestFit="1" customWidth="1" style="14" min="3" max="3"/>
    <col width="6.77734375" bestFit="1" customWidth="1" style="1" min="4" max="4"/>
    <col width="36.21875" bestFit="1" customWidth="1" min="5" max="5"/>
    <col width="19.21875" bestFit="1" customWidth="1" min="6" max="6"/>
    <col width="8.21875" bestFit="1" customWidth="1" style="1" min="7" max="7"/>
    <col width="8.77734375" bestFit="1" customWidth="1" style="1" min="8" max="8"/>
    <col width="6.21875" bestFit="1" customWidth="1" style="1" min="9" max="9"/>
  </cols>
  <sheetData>
    <row r="1">
      <c r="A1" s="2" t="inlineStr">
        <is>
          <t>When</t>
        </is>
      </c>
      <c r="B1" s="3" t="inlineStr">
        <is>
          <t>Day</t>
        </is>
      </c>
      <c r="C1" s="11" t="inlineStr">
        <is>
          <t>Room</t>
        </is>
      </c>
      <c r="D1" s="3" t="inlineStr">
        <is>
          <t>What</t>
        </is>
      </c>
      <c r="E1" s="2" t="inlineStr">
        <is>
          <t>Lectures (in Class)</t>
        </is>
      </c>
      <c r="F1" s="3" t="inlineStr">
        <is>
          <t>at home</t>
        </is>
      </c>
      <c r="G1" s="3" t="inlineStr">
        <is>
          <t>Duration</t>
        </is>
      </c>
      <c r="H1" s="3" t="inlineStr">
        <is>
          <t>Coverage</t>
        </is>
      </c>
      <c r="I1" s="3" t="n"/>
    </row>
    <row r="2">
      <c r="A2" s="12" t="n">
        <v>45559</v>
      </c>
      <c r="B2" s="5">
        <f>WEEKDAY(A2)-1</f>
        <v/>
      </c>
      <c r="C2" s="10" t="inlineStr">
        <is>
          <t>Lab 4.2 (13-15)</t>
        </is>
      </c>
      <c r="D2" s="8" t="inlineStr">
        <is>
          <t>Theory</t>
        </is>
      </c>
      <c r="E2" t="inlineStr">
        <is>
          <t>Intro + CRISP-DM</t>
        </is>
      </c>
      <c r="F2" t="inlineStr">
        <is>
          <t>Lab 00</t>
        </is>
      </c>
      <c r="G2" s="7" t="n">
        <v>2</v>
      </c>
      <c r="H2" s="4">
        <f>SUM($G$2:G2)/$G$17</f>
        <v/>
      </c>
    </row>
    <row r="3">
      <c r="A3" s="12">
        <f>A2+7</f>
        <v/>
      </c>
      <c r="B3" s="5">
        <f>WEEKDAY(A3)-1</f>
        <v/>
      </c>
      <c r="C3" s="10" t="inlineStr">
        <is>
          <t>Lab 4.2 (13-15)</t>
        </is>
      </c>
      <c r="D3" s="8" t="inlineStr">
        <is>
          <t>Theory</t>
        </is>
      </c>
      <c r="E3" t="inlineStr">
        <is>
          <t>Business Understanding</t>
        </is>
      </c>
      <c r="F3" t="inlineStr">
        <is>
          <t xml:space="preserve"> + Data understanding</t>
        </is>
      </c>
      <c r="G3" s="7" t="n">
        <v>2</v>
      </c>
      <c r="H3" s="4">
        <f>SUM($G$2:G3)/$G$17</f>
        <v/>
      </c>
    </row>
    <row r="4">
      <c r="A4" s="12">
        <f>A3+7</f>
        <v/>
      </c>
      <c r="B4" s="5">
        <f>WEEKDAY(A4)-1</f>
        <v/>
      </c>
      <c r="C4" s="10" t="inlineStr">
        <is>
          <t>Lab 4.2 (13-15)</t>
        </is>
      </c>
      <c r="D4" s="5" t="inlineStr">
        <is>
          <t>Lab</t>
        </is>
      </c>
      <c r="E4" t="inlineStr">
        <is>
          <t>Lab: Data understanding + Housing</t>
        </is>
      </c>
      <c r="G4" s="7" t="n">
        <v>2</v>
      </c>
      <c r="H4" s="4">
        <f>SUM($G$2:G4)/$G$17</f>
        <v/>
      </c>
    </row>
    <row r="5">
      <c r="A5" s="12">
        <f>A4+7</f>
        <v/>
      </c>
      <c r="B5" s="5">
        <f>WEEKDAY(A5)-1</f>
        <v/>
      </c>
      <c r="C5" s="10" t="inlineStr">
        <is>
          <t>Lab 4.2 (13-15)</t>
        </is>
      </c>
      <c r="D5" s="8" t="inlineStr">
        <is>
          <t>Theory</t>
        </is>
      </c>
      <c r="E5" t="inlineStr">
        <is>
          <t>Data preprocessing (until data integration)</t>
        </is>
      </c>
      <c r="G5" s="7" t="n">
        <v>2</v>
      </c>
      <c r="H5" s="4">
        <f>SUM($G$2:G5)/$G$17</f>
        <v/>
      </c>
    </row>
    <row r="6">
      <c r="A6" s="12">
        <f>A5+7</f>
        <v/>
      </c>
      <c r="B6" s="5">
        <f>WEEKDAY(A6)-1</f>
        <v/>
      </c>
      <c r="C6" s="10" t="inlineStr">
        <is>
          <t>Lab 4.2 (13-15)</t>
        </is>
      </c>
      <c r="D6" s="8" t="inlineStr">
        <is>
          <t>Theory</t>
        </is>
      </c>
      <c r="E6" t="inlineStr">
        <is>
          <t>Data preprocessing</t>
        </is>
      </c>
      <c r="G6" s="7" t="n">
        <v>2</v>
      </c>
      <c r="H6" s="4">
        <f>SUM($G$2:G6)/$G$17</f>
        <v/>
      </c>
    </row>
    <row r="7">
      <c r="A7" s="12">
        <f>A6+7</f>
        <v/>
      </c>
      <c r="B7" s="5">
        <f>WEEKDAY(A7)-1</f>
        <v/>
      </c>
      <c r="C7" s="10" t="inlineStr">
        <is>
          <t>Lab 4.2 (13-15)</t>
        </is>
      </c>
      <c r="D7" s="5" t="inlineStr">
        <is>
          <t>Lab</t>
        </is>
      </c>
      <c r="E7" t="inlineStr">
        <is>
          <t>Lab: Data Preparation + Housing</t>
        </is>
      </c>
      <c r="G7" s="7" t="n">
        <v>2</v>
      </c>
      <c r="H7" s="4">
        <f>SUM($G$2:G7)/$G$17</f>
        <v/>
      </c>
    </row>
    <row r="8" hidden="1">
      <c r="A8" s="12">
        <f>A7+7</f>
        <v/>
      </c>
      <c r="B8" s="5">
        <f>WEEKDAY(A8)-1</f>
        <v/>
      </c>
      <c r="C8" s="10" t="inlineStr">
        <is>
          <t>Lab 4.2 (13-15)</t>
        </is>
      </c>
      <c r="D8" s="1" t="inlineStr">
        <is>
          <t>-</t>
        </is>
      </c>
      <c r="E8" t="inlineStr">
        <is>
          <t>-</t>
        </is>
      </c>
      <c r="G8" s="7" t="inlineStr">
        <is>
          <t>-</t>
        </is>
      </c>
      <c r="H8" s="4">
        <f>SUM($G$2:G8)/$G$17</f>
        <v/>
      </c>
    </row>
    <row r="9">
      <c r="A9" s="12">
        <f>A8+7</f>
        <v/>
      </c>
      <c r="B9" s="5">
        <f>WEEKDAY(A9)-1</f>
        <v/>
      </c>
      <c r="C9" s="10" t="inlineStr">
        <is>
          <t>Lab 4.2 (13-15)</t>
        </is>
      </c>
      <c r="D9" s="8" t="inlineStr">
        <is>
          <t>Theory</t>
        </is>
      </c>
      <c r="E9" t="inlineStr">
        <is>
          <t>(Deep) neural networks</t>
        </is>
      </c>
      <c r="G9" s="7" t="n">
        <v>2</v>
      </c>
      <c r="H9" s="4">
        <f>SUM($G$2:G9)/$G$17</f>
        <v/>
      </c>
    </row>
    <row r="10">
      <c r="A10" s="12">
        <f>A9+7</f>
        <v/>
      </c>
      <c r="B10" s="5">
        <f>WEEKDAY(A10)-1</f>
        <v/>
      </c>
      <c r="C10" s="10" t="inlineStr">
        <is>
          <t>Lab 4.2 (13-15)</t>
        </is>
      </c>
      <c r="D10" s="8" t="inlineStr">
        <is>
          <t>Theory</t>
        </is>
      </c>
      <c r="E10" t="inlineStr">
        <is>
          <t>Modeling</t>
        </is>
      </c>
      <c r="G10" s="7" t="n">
        <v>2</v>
      </c>
      <c r="H10" s="4">
        <f>SUM($G$2:G10)/$G$17</f>
        <v/>
      </c>
    </row>
    <row r="11">
      <c r="A11" s="12">
        <f>A10+7</f>
        <v/>
      </c>
      <c r="B11" s="5">
        <f>WEEKDAY(A11)-1</f>
        <v/>
      </c>
      <c r="C11" s="10" t="inlineStr">
        <is>
          <t>Lab 4.2 (13-15)</t>
        </is>
      </c>
      <c r="D11" s="5" t="inlineStr">
        <is>
          <t>Lab</t>
        </is>
      </c>
      <c r="E11" t="inlineStr">
        <is>
          <t>Lab: Housing + Titanic</t>
        </is>
      </c>
      <c r="G11" s="7" t="n">
        <v>2</v>
      </c>
      <c r="H11" s="4">
        <f>SUM($G$2:G11)/$G$17</f>
        <v/>
      </c>
    </row>
    <row r="12">
      <c r="A12" s="12">
        <f>A11+7</f>
        <v/>
      </c>
      <c r="B12" s="5">
        <f>WEEKDAY(A12)-1</f>
        <v/>
      </c>
      <c r="C12" s="10" t="inlineStr">
        <is>
          <t>Lab 4.2 (13-15)</t>
        </is>
      </c>
      <c r="D12" s="5" t="inlineStr">
        <is>
          <t>Lab</t>
        </is>
      </c>
      <c r="E12" t="inlineStr">
        <is>
          <t>Lab: Challenge</t>
        </is>
      </c>
      <c r="G12" s="7" t="n">
        <v>2</v>
      </c>
      <c r="H12" s="4">
        <f>SUM($G$2:G12)/$G$17</f>
        <v/>
      </c>
    </row>
    <row r="13">
      <c r="A13" s="12">
        <f>A12+7</f>
        <v/>
      </c>
      <c r="B13" s="5">
        <f>WEEKDAY(A13)-1</f>
        <v/>
      </c>
      <c r="C13" s="10" t="inlineStr">
        <is>
          <t>Lab 4.2 (13-15)</t>
        </is>
      </c>
      <c r="D13" s="5" t="inlineStr">
        <is>
          <t>Lab</t>
        </is>
      </c>
      <c r="E13" t="inlineStr">
        <is>
          <t>Lab: Challenge Solution + AutoML</t>
        </is>
      </c>
      <c r="G13" s="7" t="n">
        <v>2</v>
      </c>
      <c r="H13" s="4">
        <f>SUM($G$2:G13)/$G$17</f>
        <v/>
      </c>
    </row>
    <row r="14">
      <c r="A14" s="12">
        <f>A13+7</f>
        <v/>
      </c>
      <c r="B14" s="5">
        <f>WEEKDAY(A14)-1</f>
        <v/>
      </c>
      <c r="C14" s="10" t="inlineStr">
        <is>
          <t>Lab 4.2 (13-15)</t>
        </is>
      </c>
      <c r="D14" s="8" t="inlineStr">
        <is>
          <t>Theory</t>
        </is>
      </c>
      <c r="E14" t="inlineStr">
        <is>
          <t>Fairness + Summing up</t>
        </is>
      </c>
      <c r="G14" s="7" t="n">
        <v>2</v>
      </c>
      <c r="H14" s="4">
        <f>SUM($G$2:G14)/$G$17</f>
        <v/>
      </c>
    </row>
    <row r="15" hidden="1">
      <c r="A15" s="12">
        <f>A14+7</f>
        <v/>
      </c>
      <c r="B15" s="5">
        <f>WEEKDAY(A15)-1</f>
        <v/>
      </c>
      <c r="C15" s="10" t="n"/>
      <c r="D15" s="5" t="n"/>
      <c r="G15" s="5" t="inlineStr">
        <is>
          <t>-</t>
        </is>
      </c>
      <c r="H15" s="4">
        <f>SUM($G$2:G15)/$G$17</f>
        <v/>
      </c>
    </row>
    <row r="16">
      <c r="A16" s="12" t="n"/>
      <c r="B16" s="6" t="n"/>
      <c r="C16" s="13" t="n"/>
      <c r="D16" s="6" t="n"/>
      <c r="E16" s="9" t="inlineStr">
        <is>
          <t>Tot</t>
        </is>
      </c>
      <c r="G16" s="5">
        <f>SUM(G2:G14)</f>
        <v/>
      </c>
      <c r="H16" s="4" t="n"/>
    </row>
    <row r="17">
      <c r="E17" s="9" t="inlineStr">
        <is>
          <t>Max</t>
        </is>
      </c>
      <c r="G17" s="1" t="n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Matteo Francia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2026-09-07T15:49:17Z</dcterms:modified>
  <cp:lastModifiedBy>Matteo Francia</cp:lastModifiedBy>
</cp:coreProperties>
</file>