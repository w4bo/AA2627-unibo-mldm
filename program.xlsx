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90FC6C7B-AAE9-439D-861E-6301A4EEC55C}" xr6:coauthVersionLast="47" xr6:coauthVersionMax="47" xr10:uidLastSave="{00000000-0000-0000-0000-000000000000}"/>
  <bookViews>
    <workbookView xWindow="72" yWindow="24" windowWidth="30168" windowHeight="14388" xr2:uid="{00000000-000D-0000-FFFF-FFFF00000000}"/>
  </bookViews>
  <sheets>
    <sheet name="AA2627" sheetId="1" r:id="rId1"/>
    <sheet name="AA2526" sheetId="2" r:id="rId2"/>
    <sheet name="AA24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H15" i="3"/>
  <c r="H14" i="3"/>
  <c r="H13" i="3"/>
  <c r="H12" i="3"/>
  <c r="H11" i="3"/>
  <c r="H10" i="3"/>
  <c r="H9" i="3"/>
  <c r="H8" i="3"/>
  <c r="H7" i="3"/>
  <c r="H6" i="3"/>
  <c r="H5" i="3"/>
  <c r="H4" i="3"/>
  <c r="A4" i="3"/>
  <c r="A5" i="3" s="1"/>
  <c r="H3" i="3"/>
  <c r="B3" i="3"/>
  <c r="A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G19" i="1"/>
  <c r="H17" i="1"/>
  <c r="H16" i="1"/>
  <c r="H15" i="1"/>
  <c r="H14" i="1"/>
  <c r="H13" i="1"/>
  <c r="H12" i="1"/>
  <c r="A12" i="1"/>
  <c r="B12" i="1" s="1"/>
  <c r="H11" i="1"/>
  <c r="H10" i="1"/>
  <c r="H9" i="1"/>
  <c r="A9" i="1"/>
  <c r="A13" i="1" s="1"/>
  <c r="H8" i="1"/>
  <c r="A8" i="1"/>
  <c r="B8" i="1" s="1"/>
  <c r="H7" i="1"/>
  <c r="A7" i="1"/>
  <c r="A11" i="1" s="1"/>
  <c r="H6" i="1"/>
  <c r="A6" i="1"/>
  <c r="B6" i="1" s="1"/>
  <c r="H5" i="1"/>
  <c r="B5" i="1"/>
  <c r="H4" i="1"/>
  <c r="B4" i="1"/>
  <c r="H3" i="1"/>
  <c r="B3" i="1"/>
  <c r="H2" i="1"/>
  <c r="B2" i="1"/>
  <c r="A5" i="2" l="1"/>
  <c r="B4" i="2"/>
  <c r="B13" i="1"/>
  <c r="A17" i="1"/>
  <c r="B17" i="1" s="1"/>
  <c r="B5" i="3"/>
  <c r="A6" i="3"/>
  <c r="B11" i="1"/>
  <c r="A15" i="1"/>
  <c r="B15" i="1" s="1"/>
  <c r="B7" i="1"/>
  <c r="A16" i="1"/>
  <c r="B16" i="1" s="1"/>
  <c r="B9" i="1"/>
  <c r="B4" i="3"/>
  <c r="A10" i="1"/>
  <c r="B3" i="2"/>
  <c r="A7" i="3" l="1"/>
  <c r="B6" i="3"/>
  <c r="B10" i="1"/>
  <c r="A14" i="1"/>
  <c r="B14" i="1" s="1"/>
  <c r="B5" i="2"/>
  <c r="A6" i="2"/>
  <c r="A7" i="2" l="1"/>
  <c r="B6" i="2"/>
  <c r="A8" i="3"/>
  <c r="B7" i="3"/>
  <c r="A9" i="3" l="1"/>
  <c r="B8" i="3"/>
  <c r="A8" i="2"/>
  <c r="B7" i="2"/>
  <c r="A9" i="2" l="1"/>
  <c r="B8" i="2"/>
  <c r="A10" i="3"/>
  <c r="B9" i="3"/>
  <c r="A11" i="3" l="1"/>
  <c r="B10" i="3"/>
  <c r="B9" i="2"/>
  <c r="A10" i="2"/>
  <c r="A11" i="2" l="1"/>
  <c r="B10" i="2"/>
  <c r="A12" i="3"/>
  <c r="B11" i="3"/>
  <c r="A13" i="3" l="1"/>
  <c r="B12" i="3"/>
  <c r="A12" i="2"/>
  <c r="B11" i="2"/>
  <c r="A13" i="2" l="1"/>
  <c r="B12" i="2"/>
  <c r="A14" i="3"/>
  <c r="B13" i="3"/>
  <c r="A15" i="3" l="1"/>
  <c r="B15" i="3" s="1"/>
  <c r="B14" i="3"/>
  <c r="B13" i="2"/>
  <c r="A14" i="2"/>
  <c r="B14" i="2" s="1"/>
</calcChain>
</file>

<file path=xl/sharedStrings.xml><?xml version="1.0" encoding="utf-8"?>
<sst xmlns="http://schemas.openxmlformats.org/spreadsheetml/2006/main" count="169" uniqueCount="55">
  <si>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</si>
  <si>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</si>
  <si>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</si>
  <si>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</si>
  <si>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</si>
  <si>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</si>
  <si>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</si>
  <si>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</si>
  <si>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LAB. 3.3 (9-12)</t>
  </si>
  <si>
    <t>Lab</t>
  </si>
  <si>
    <t>AULA 2.4 (9-11)</t>
  </si>
  <si>
    <t>Theory</t>
  </si>
  <si>
    <t>LAB. 3.3 (14-17)</t>
  </si>
  <si>
    <t>Lab 00 - Intro to libraries</t>
  </si>
  <si>
    <t>AULA 3.7 (14-16)</t>
  </si>
  <si>
    <t>Lab-Classification</t>
  </si>
  <si>
    <t>05-NN</t>
  </si>
  <si>
    <t>Modeling</t>
  </si>
  <si>
    <t>Clustering</t>
  </si>
  <si>
    <t>Ensemble?</t>
  </si>
  <si>
    <t>-</t>
  </si>
  <si>
    <t>Association rules</t>
  </si>
  <si>
    <t>Summing Up</t>
  </si>
  <si>
    <t>Tot</t>
  </si>
  <si>
    <t>Max</t>
  </si>
  <si>
    <t>Lab 4.2 (13-15)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</si>
  <si>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</si>
  <si>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</si>
  <si>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</si>
  <si>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</si>
  <si>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</si>
  <si>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</si>
  <si>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</si>
  <si>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</si>
  <si>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</si>
  <si>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</si>
  <si>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</si>
  <si>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</si>
  <si>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</si>
  <si>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</si>
  <si>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</si>
  <si>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</si>
  <si>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</si>
  <si>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</si>
  <si>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</si>
  <si>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</si>
  <si>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</si>
  <si>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</si>
  <si>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</si>
  <si>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Lab: Housing + Titanic</t>
  </si>
  <si>
    <t>Lab: Challenge Solution + AutoML</t>
  </si>
  <si>
    <t>Fairness + Summing up</t>
  </si>
  <si>
    <t>02-DT + Evaluation</t>
  </si>
  <si>
    <t>02-DT + Evaluation + 03-KNN</t>
  </si>
  <si>
    <t>Intro + 01-ML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</si>
</sst>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="175" zoomScaleNormal="175" workbookViewId="0">
      <selection activeCell="E3" sqref="E3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 t="shared" ref="B2:B17" si="0">WEEKDAY(A2)-1</f>
        <v>1</v>
      </c>
      <c r="C2" s="18" t="s">
        <v>8</v>
      </c>
      <c r="D2" s="5" t="s">
        <v>9</v>
      </c>
      <c r="E2" t="s">
        <v>54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si="0"/>
        <v>2</v>
      </c>
      <c r="C3" s="10" t="s">
        <v>10</v>
      </c>
      <c r="D3" s="8" t="s">
        <v>11</v>
      </c>
      <c r="E3" t="s">
        <v>52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12</v>
      </c>
      <c r="D4" s="5" t="s">
        <v>9</v>
      </c>
      <c r="E4" t="s">
        <v>13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14</v>
      </c>
      <c r="D5" s="8" t="s">
        <v>11</v>
      </c>
      <c r="E5" t="s">
        <v>53</v>
      </c>
      <c r="G5" s="7">
        <v>2</v>
      </c>
      <c r="H5" s="16">
        <f>SUM($G$2:G5)/$G$20</f>
        <v>0.33333333333333331</v>
      </c>
    </row>
    <row r="6" spans="1:8" x14ac:dyDescent="0.3">
      <c r="A6" s="12">
        <f t="shared" ref="A6:A17" si="1">A2+7</f>
        <v>46286</v>
      </c>
      <c r="B6" s="5">
        <f t="shared" si="0"/>
        <v>1</v>
      </c>
      <c r="C6" s="18" t="s">
        <v>8</v>
      </c>
      <c r="D6" s="5" t="s">
        <v>9</v>
      </c>
      <c r="E6" s="15" t="s">
        <v>15</v>
      </c>
      <c r="G6" s="7">
        <v>3</v>
      </c>
      <c r="H6" s="16">
        <f>SUM($G$2:G6)/$G$20</f>
        <v>0.43333333333333335</v>
      </c>
    </row>
    <row r="7" spans="1:8" x14ac:dyDescent="0.3">
      <c r="A7" s="12">
        <f t="shared" si="1"/>
        <v>46287</v>
      </c>
      <c r="B7" s="5">
        <f t="shared" si="0"/>
        <v>2</v>
      </c>
      <c r="C7" s="10" t="s">
        <v>10</v>
      </c>
      <c r="D7" s="8" t="s">
        <v>11</v>
      </c>
      <c r="E7" s="15" t="s">
        <v>16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12</v>
      </c>
      <c r="D8" s="5" t="s">
        <v>9</v>
      </c>
      <c r="E8" s="15" t="s">
        <v>17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14</v>
      </c>
      <c r="D9" s="8" t="s">
        <v>11</v>
      </c>
      <c r="E9" t="s">
        <v>18</v>
      </c>
      <c r="F9" t="s">
        <v>19</v>
      </c>
      <c r="G9" s="7">
        <v>2</v>
      </c>
      <c r="H9" s="16">
        <f>SUM($G$2:G9)/$G$20</f>
        <v>0.66666666666666663</v>
      </c>
    </row>
    <row r="10" spans="1:8" x14ac:dyDescent="0.3">
      <c r="A10" s="12">
        <f t="shared" si="1"/>
        <v>46293</v>
      </c>
      <c r="B10" s="5">
        <f t="shared" si="0"/>
        <v>1</v>
      </c>
      <c r="C10" s="18" t="s">
        <v>8</v>
      </c>
      <c r="D10" s="5" t="s">
        <v>9</v>
      </c>
      <c r="E10" s="15" t="s">
        <v>20</v>
      </c>
      <c r="G10" s="7" t="s">
        <v>20</v>
      </c>
      <c r="H10" s="16">
        <f>SUM($G$2:G10)/$G$20</f>
        <v>0.66666666666666663</v>
      </c>
    </row>
    <row r="11" spans="1:8" x14ac:dyDescent="0.3">
      <c r="A11" s="12">
        <f t="shared" si="1"/>
        <v>46294</v>
      </c>
      <c r="B11" s="5">
        <f t="shared" si="0"/>
        <v>2</v>
      </c>
      <c r="C11" s="10" t="s">
        <v>10</v>
      </c>
      <c r="D11" s="8" t="s">
        <v>11</v>
      </c>
      <c r="E11" s="15" t="s">
        <v>20</v>
      </c>
      <c r="G11" s="7" t="s">
        <v>20</v>
      </c>
      <c r="H11" s="16">
        <f>SUM($G$2:G11)/$G$20</f>
        <v>0.66666666666666663</v>
      </c>
    </row>
    <row r="12" spans="1:8" x14ac:dyDescent="0.3">
      <c r="A12" s="12">
        <f t="shared" si="1"/>
        <v>46294</v>
      </c>
      <c r="B12" s="5">
        <f t="shared" si="0"/>
        <v>2</v>
      </c>
      <c r="C12" s="18" t="s">
        <v>12</v>
      </c>
      <c r="D12" s="5" t="s">
        <v>9</v>
      </c>
      <c r="E12" s="17" t="s">
        <v>20</v>
      </c>
      <c r="G12" s="7" t="s">
        <v>20</v>
      </c>
      <c r="H12" s="16">
        <f>SUM($G$2:G12)/$G$20</f>
        <v>0.66666666666666663</v>
      </c>
    </row>
    <row r="13" spans="1:8" x14ac:dyDescent="0.3">
      <c r="A13" s="12">
        <f t="shared" si="1"/>
        <v>46295</v>
      </c>
      <c r="B13" s="5">
        <f t="shared" si="0"/>
        <v>3</v>
      </c>
      <c r="C13" s="10" t="s">
        <v>14</v>
      </c>
      <c r="D13" s="8" t="s">
        <v>11</v>
      </c>
      <c r="E13" s="17" t="s">
        <v>20</v>
      </c>
      <c r="G13" s="7" t="s">
        <v>20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8</v>
      </c>
      <c r="D14" s="5" t="s">
        <v>9</v>
      </c>
      <c r="E14" t="s">
        <v>18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10</v>
      </c>
      <c r="D15" s="8" t="s">
        <v>11</v>
      </c>
      <c r="E15" s="15" t="s">
        <v>21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12</v>
      </c>
      <c r="D16" s="5" t="s">
        <v>9</v>
      </c>
      <c r="E16" s="15" t="s">
        <v>21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14</v>
      </c>
      <c r="D17" s="8" t="s">
        <v>11</v>
      </c>
      <c r="E17" t="s">
        <v>22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23</v>
      </c>
      <c r="G19" s="5">
        <f>SUM(G2:G17)</f>
        <v>30</v>
      </c>
      <c r="H19" s="4"/>
    </row>
    <row r="20" spans="1:8" x14ac:dyDescent="0.3">
      <c r="E20" s="9" t="s">
        <v>24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 t="shared" ref="B2:B14" si="0">WEEKDAY(A2)-1</f>
        <v>3</v>
      </c>
      <c r="C2" s="10" t="s">
        <v>25</v>
      </c>
      <c r="D2" s="8" t="s">
        <v>11</v>
      </c>
      <c r="E2" t="s">
        <v>26</v>
      </c>
      <c r="F2" t="s">
        <v>27</v>
      </c>
      <c r="G2" s="7">
        <v>2</v>
      </c>
      <c r="H2" s="16">
        <f>SUM($G$2:G2)/$G$17</f>
        <v>8.3333333333333329E-2</v>
      </c>
    </row>
    <row r="3" spans="1:9" x14ac:dyDescent="0.3">
      <c r="A3" s="12">
        <f t="shared" ref="A3:A14" si="1">A2+7</f>
        <v>45931</v>
      </c>
      <c r="B3" s="5">
        <f t="shared" si="0"/>
        <v>3</v>
      </c>
      <c r="C3" s="10" t="s">
        <v>25</v>
      </c>
      <c r="D3" s="8" t="s">
        <v>11</v>
      </c>
      <c r="E3" t="s">
        <v>28</v>
      </c>
      <c r="F3" t="s">
        <v>29</v>
      </c>
      <c r="G3" s="7">
        <v>2</v>
      </c>
      <c r="H3" s="16">
        <f>SUM($G$2:G3)/$G$17</f>
        <v>0.16666666666666666</v>
      </c>
    </row>
    <row r="4" spans="1:9" x14ac:dyDescent="0.3">
      <c r="A4" s="12">
        <f t="shared" si="1"/>
        <v>45938</v>
      </c>
      <c r="B4" s="5">
        <f t="shared" si="0"/>
        <v>3</v>
      </c>
      <c r="C4" s="10" t="s">
        <v>25</v>
      </c>
      <c r="D4" s="8" t="s">
        <v>11</v>
      </c>
      <c r="E4" t="s">
        <v>30</v>
      </c>
      <c r="F4" t="s">
        <v>31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25</v>
      </c>
      <c r="D5" s="5" t="s">
        <v>9</v>
      </c>
      <c r="E5" t="s">
        <v>32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25</v>
      </c>
      <c r="D6" s="8" t="s">
        <v>11</v>
      </c>
      <c r="E6" s="15" t="s">
        <v>33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25</v>
      </c>
      <c r="D7" s="8" t="s">
        <v>11</v>
      </c>
      <c r="E7" t="s">
        <v>34</v>
      </c>
      <c r="F7" t="s">
        <v>35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25</v>
      </c>
      <c r="D8" s="8" t="s">
        <v>11</v>
      </c>
      <c r="E8" t="s">
        <v>36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25</v>
      </c>
      <c r="D9" s="5" t="s">
        <v>9</v>
      </c>
      <c r="E9" s="15" t="s">
        <v>37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25</v>
      </c>
      <c r="D10" s="5" t="s">
        <v>9</v>
      </c>
      <c r="E10" t="s">
        <v>38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25</v>
      </c>
      <c r="D11" s="8" t="s">
        <v>11</v>
      </c>
      <c r="E11" s="15" t="s">
        <v>39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25</v>
      </c>
      <c r="D12" s="5" t="s">
        <v>9</v>
      </c>
      <c r="E12" s="17" t="s">
        <v>40</v>
      </c>
      <c r="G12" s="7">
        <v>2</v>
      </c>
      <c r="H12" s="16">
        <f>SUM($G$2:G12)/$G$17</f>
        <v>0.91666666666666663</v>
      </c>
    </row>
    <row r="13" spans="1:9" x14ac:dyDescent="0.3">
      <c r="A13" s="12">
        <f t="shared" si="1"/>
        <v>46001</v>
      </c>
      <c r="B13" s="5">
        <f t="shared" si="0"/>
        <v>3</v>
      </c>
      <c r="C13" s="10" t="s">
        <v>25</v>
      </c>
      <c r="D13" s="5" t="s">
        <v>9</v>
      </c>
      <c r="E13" s="17" t="s">
        <v>41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25</v>
      </c>
      <c r="D14" s="5"/>
      <c r="G14" s="7" t="s">
        <v>20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20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23</v>
      </c>
      <c r="G16" s="5">
        <f>SUM(G2:G14)</f>
        <v>24</v>
      </c>
      <c r="H16" s="4"/>
    </row>
    <row r="17" spans="5:7" x14ac:dyDescent="0.3">
      <c r="E17" s="9" t="s">
        <v>24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42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 t="shared" ref="B2:B15" si="0">WEEKDAY(A2)-1</f>
        <v>2</v>
      </c>
      <c r="C2" s="10" t="s">
        <v>25</v>
      </c>
      <c r="D2" s="8" t="s">
        <v>11</v>
      </c>
      <c r="E2" t="s">
        <v>26</v>
      </c>
      <c r="F2" t="s">
        <v>43</v>
      </c>
      <c r="G2" s="7">
        <v>2</v>
      </c>
      <c r="H2" s="4">
        <f>SUM($G$2:G2)/$G$17</f>
        <v>8.3333333333333329E-2</v>
      </c>
    </row>
    <row r="3" spans="1:9" x14ac:dyDescent="0.3">
      <c r="A3" s="12">
        <f t="shared" ref="A3:A15" si="1">A2+7</f>
        <v>45566</v>
      </c>
      <c r="B3" s="5">
        <f t="shared" si="0"/>
        <v>2</v>
      </c>
      <c r="C3" s="10" t="s">
        <v>25</v>
      </c>
      <c r="D3" s="8" t="s">
        <v>11</v>
      </c>
      <c r="E3" t="s">
        <v>28</v>
      </c>
      <c r="F3" t="s">
        <v>44</v>
      </c>
      <c r="G3" s="7">
        <v>2</v>
      </c>
      <c r="H3" s="4">
        <f>SUM($G$2:G3)/$G$17</f>
        <v>0.16666666666666666</v>
      </c>
    </row>
    <row r="4" spans="1:9" x14ac:dyDescent="0.3">
      <c r="A4" s="12">
        <f t="shared" si="1"/>
        <v>45573</v>
      </c>
      <c r="B4" s="5">
        <f t="shared" si="0"/>
        <v>2</v>
      </c>
      <c r="C4" s="10" t="s">
        <v>25</v>
      </c>
      <c r="D4" s="5" t="s">
        <v>9</v>
      </c>
      <c r="E4" t="s">
        <v>45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25</v>
      </c>
      <c r="D5" s="8" t="s">
        <v>11</v>
      </c>
      <c r="E5" t="s">
        <v>46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25</v>
      </c>
      <c r="D6" s="8" t="s">
        <v>11</v>
      </c>
      <c r="E6" t="s">
        <v>47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25</v>
      </c>
      <c r="D7" s="5" t="s">
        <v>9</v>
      </c>
      <c r="E7" t="s">
        <v>48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25</v>
      </c>
      <c r="D8" s="1" t="s">
        <v>20</v>
      </c>
      <c r="E8" t="s">
        <v>20</v>
      </c>
      <c r="G8" s="7" t="s">
        <v>20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25</v>
      </c>
      <c r="D9" s="8" t="s">
        <v>11</v>
      </c>
      <c r="E9" t="s">
        <v>36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25</v>
      </c>
      <c r="D10" s="8" t="s">
        <v>11</v>
      </c>
      <c r="E10" t="s">
        <v>17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25</v>
      </c>
      <c r="D11" s="5" t="s">
        <v>9</v>
      </c>
      <c r="E11" t="s">
        <v>49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25</v>
      </c>
      <c r="D12" s="5" t="s">
        <v>9</v>
      </c>
      <c r="E12" t="s">
        <v>40</v>
      </c>
      <c r="G12" s="7">
        <v>2</v>
      </c>
      <c r="H12" s="4">
        <f>SUM($G$2:G12)/$G$17</f>
        <v>0.83333333333333337</v>
      </c>
    </row>
    <row r="13" spans="1:9" x14ac:dyDescent="0.3">
      <c r="A13" s="12">
        <f t="shared" si="1"/>
        <v>45636</v>
      </c>
      <c r="B13" s="5">
        <f t="shared" si="0"/>
        <v>2</v>
      </c>
      <c r="C13" s="10" t="s">
        <v>25</v>
      </c>
      <c r="D13" s="5" t="s">
        <v>9</v>
      </c>
      <c r="E13" t="s">
        <v>50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25</v>
      </c>
      <c r="D14" s="8" t="s">
        <v>11</v>
      </c>
      <c r="E14" t="s">
        <v>51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20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23</v>
      </c>
      <c r="G16" s="5">
        <f>SUM(G2:G14)</f>
        <v>24</v>
      </c>
      <c r="H16" s="4"/>
    </row>
    <row r="17" spans="5:7" x14ac:dyDescent="0.3">
      <c r="E17" s="9" t="s">
        <v>24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2026-09-14T14:49:48Z</dcterms:modified>
</cp:coreProperties>
</file>